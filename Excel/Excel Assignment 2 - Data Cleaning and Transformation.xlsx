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83b309c038dcc6b6/Documents/DataAnalytics/"/>
    </mc:Choice>
  </mc:AlternateContent>
  <xr:revisionPtr revIDLastSave="259" documentId="11_1C7413A03C55C9D6C729A121CD02E8CB7FE62493" xr6:coauthVersionLast="47" xr6:coauthVersionMax="47" xr10:uidLastSave="{0AB6FFE0-AE9B-4704-AD4D-B19F3950034D}"/>
  <bookViews>
    <workbookView xWindow="-108" yWindow="-108" windowWidth="23256" windowHeight="12456" activeTab="3" xr2:uid="{00000000-000D-0000-FFFF-FFFF00000000}"/>
  </bookViews>
  <sheets>
    <sheet name="Instructions" sheetId="1" r:id="rId1"/>
    <sheet name="Dataset" sheetId="2" r:id="rId2"/>
    <sheet name="PQ_Res" sheetId="4" r:id="rId3"/>
    <sheet name="Answers" sheetId="3" r:id="rId4"/>
  </sheets>
  <definedNames>
    <definedName name="ExternalData_1" localSheetId="2" hidden="1">PQ_Res!$A$1:$F$32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K10" i="3"/>
  <c r="K9" i="3"/>
  <c r="K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FBEF49-CAAC-4D3A-9418-E7DEE86FF41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7A84CE2-F13A-4B77-978E-0198D4F15744}" keepAlive="1" name="Query - Table1 (2)" description="Connection to the 'Table1 (2)' query in the workbook." type="5" refreshedVersion="0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<sst xmlns="http://schemas.openxmlformats.org/spreadsheetml/2006/main" count="533" uniqueCount="172">
  <si>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</si>
  <si>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</si>
  <si>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</si>
  <si>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</si>
  <si>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</si>
  <si>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</si>
  <si>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</si>
  <si>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</si>
  <si>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</si>
  <si>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</si>
  <si>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</si>
  <si>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</si>
  <si>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</si>
  <si>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</si>
  <si>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</si>
  <si>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</si>
  <si>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</si>
  <si>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</si>
  <si>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</si>
  <si>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</si>
  <si>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</si>
  <si>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</si>
  <si>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</si>
  <si>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</si>
  <si>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</si>
  <si>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</si>
  <si>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</si>
  <si>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</si>
  <si>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</si>
  <si>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</si>
  <si>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</si>
  <si>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</si>
  <si>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</si>
  <si>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</si>
  <si>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</si>
  <si>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</si>
  <si>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</si>
  <si>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</si>
  <si>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</si>
  <si>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</si>
  <si>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</si>
  <si>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</si>
  <si>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</si>
  <si>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</si>
  <si>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</si>
  <si>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</si>
  <si>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</si>
  <si>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</si>
  <si>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</si>
  <si>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</si>
  <si>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</si>
  <si>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</si>
  <si>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</si>
  <si>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</si>
  <si>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</si>
  <si>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</si>
  <si>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</si>
  <si>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</si>
  <si>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</si>
  <si>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</si>
  <si>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</si>
  <si>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</si>
  <si>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</si>
  <si>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</si>
  <si>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</si>
  <si>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</si>
  <si>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</si>
  <si>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</si>
  <si>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</si>
  <si>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</si>
  <si>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</si>
  <si>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</si>
  <si>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</si>
  <si>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</si>
  <si>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</si>
  <si>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</si>
  <si>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</si>
  <si>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</si>
  <si>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</si>
  <si>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</si>
  <si>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</si>
  <si>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</si>
  <si>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</si>
  <si>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</si>
  <si>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</si>
  <si>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</si>
  <si>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</si>
  <si>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</si>
  <si>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</si>
  <si>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</si>
  <si>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</si>
  <si>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</si>
  <si>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</si>
  <si>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</si>
  <si>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</si>
  <si>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</si>
  <si>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</si>
  <si>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</si>
  <si>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</si>
  <si>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</si>
  <si>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</si>
  <si>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</si>
  <si>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</si>
  <si>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</si>
  <si>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</si>
  <si>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</si>
  <si>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</si>
  <si>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</si>
  <si>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</si>
  <si>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</si>
  <si>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</si>
  <si>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</si>
  <si>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</si>
  <si>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</si>
  <si>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</si>
  <si>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</si>
  <si>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Price Impute</t>
  </si>
  <si>
    <t>Average Check</t>
  </si>
  <si>
    <t>Category Impute</t>
  </si>
  <si>
    <t>UnKnown</t>
  </si>
  <si>
    <t>Total Product Count with Duplicates</t>
  </si>
  <si>
    <t>Total Product Count without Duplicates</t>
  </si>
  <si>
    <t>Replaced Electroni with Electronics in Category Column</t>
  </si>
  <si>
    <t>Manufacturing Date</t>
  </si>
  <si>
    <t>Country Code</t>
  </si>
  <si>
    <t>Product Brand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</si>
  <si>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</si>
  <si>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</si>
  <si>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</si>
  <si>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</si>
  <si>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</si>
  <si>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</si>
  <si>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</si>
  <si>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</si>
  <si>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</si>
  <si>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</si>
  <si>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</si>
  <si>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</si>
  <si>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</si>
  <si>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</si>
  <si>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</si>
  <si>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</si>
  <si>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</si>
  <si>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</si>
  <si>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</si>
  <si>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</si>
  <si>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</si>
  <si>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</si>
  <si>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</si>
  <si>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</si>
  <si>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</si>
  <si>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</si>
  <si>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</si>
  <si>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</si>
  <si>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</si>
  <si>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</si>
  <si>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</si>
  <si>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</si>
  <si>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</si>
  <si>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</si>
  <si>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</si>
  <si>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</si>
  <si>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</si>
  <si>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</si>
  <si>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</si>
  <si>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</si>
  <si>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</si>
  <si>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</si>
  <si>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</si>
  <si>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Sample Data</t>
  </si>
  <si>
    <t>Worked Data</t>
  </si>
  <si>
    <t>Correcting text forms in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</si>
</sst>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&quot;₹&quot;\ #,##0.00"/>
  </numFmts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2" borderId="1" xfId="0" applyFont="1" applyFill="1" applyBorder="1" applyAlignment="1">
      <alignment horizontal="center"/>
    </xf>
    <xf numFmtId="0" fontId="5" fillId="0" borderId="1" xfId="0" applyFont="1" applyBorder="1"/>
    <xf numFmtId="0" fontId="5" fillId="3" borderId="1" xfId="0" applyFont="1" applyFill="1" applyBorder="1"/>
    <xf numFmtId="0" fontId="7" fillId="2" borderId="2" xfId="0" applyFont="1" applyFill="1" applyBorder="1" applyAlignment="1">
      <alignment horizontal="center" wrapText="1"/>
    </xf>
    <xf numFmtId="1" fontId="0" fillId="0" borderId="0" xfId="0" applyNumberFormat="1"/>
    <xf numFmtId="1" fontId="5" fillId="0" borderId="1" xfId="0" applyNumberFormat="1" applyFont="1" applyBorder="1"/>
    <xf numFmtId="1" fontId="5" fillId="3" borderId="1" xfId="0" applyNumberFormat="1" applyFont="1" applyFill="1" applyBorder="1"/>
    <xf numFmtId="49" fontId="5" fillId="0" borderId="1" xfId="0" applyNumberFormat="1" applyFont="1" applyBorder="1"/>
    <xf numFmtId="49" fontId="5" fillId="3" borderId="1" xfId="0" applyNumberFormat="1" applyFont="1" applyFill="1" applyBorder="1"/>
    <xf numFmtId="0" fontId="5" fillId="0" borderId="3" xfId="0" applyFont="1" applyBorder="1"/>
    <xf numFmtId="0" fontId="5" fillId="3" borderId="3" xfId="0" applyFont="1" applyFill="1" applyBorder="1"/>
    <xf numFmtId="0" fontId="5" fillId="0" borderId="4" xfId="0" applyFont="1" applyBorder="1"/>
    <xf numFmtId="0" fontId="5" fillId="3" borderId="4" xfId="0" applyFont="1" applyFill="1" applyBorder="1"/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5" fillId="3" borderId="8" xfId="0" applyFont="1" applyFill="1" applyBorder="1"/>
    <xf numFmtId="49" fontId="0" fillId="0" borderId="9" xfId="0" applyNumberFormat="1" applyFill="1" applyBorder="1"/>
    <xf numFmtId="0" fontId="5" fillId="3" borderId="9" xfId="0" applyFont="1" applyFill="1" applyBorder="1"/>
    <xf numFmtId="1" fontId="5" fillId="3" borderId="9" xfId="0" applyNumberFormat="1" applyFont="1" applyFill="1" applyBorder="1"/>
    <xf numFmtId="0" fontId="5" fillId="3" borderId="10" xfId="0" applyFont="1" applyFill="1" applyBorder="1"/>
    <xf numFmtId="14" fontId="0" fillId="0" borderId="0" xfId="0" applyNumberFormat="1"/>
    <xf numFmtId="0" fontId="0" fillId="0" borderId="0" xfId="0" applyNumberFormat="1"/>
    <xf numFmtId="171" fontId="0" fillId="0" borderId="0" xfId="0" applyNumberFormat="1"/>
    <xf numFmtId="0" fontId="7" fillId="2" borderId="1" xfId="0" applyFont="1" applyFill="1" applyBorder="1" applyAlignment="1">
      <alignment horizontal="center" wrapText="1"/>
    </xf>
    <xf numFmtId="0" fontId="9" fillId="5" borderId="1" xfId="0" applyFont="1" applyFill="1" applyBorder="1"/>
    <xf numFmtId="0" fontId="9" fillId="6" borderId="1" xfId="0" applyFont="1" applyFill="1" applyBorder="1"/>
    <xf numFmtId="0" fontId="9" fillId="7" borderId="1" xfId="0" applyFont="1" applyFill="1" applyBorder="1" applyAlignment="1">
      <alignment wrapText="1"/>
    </xf>
    <xf numFmtId="0" fontId="9" fillId="4" borderId="1" xfId="0" applyFont="1" applyFill="1" applyBorder="1"/>
    <xf numFmtId="1" fontId="9" fillId="0" borderId="1" xfId="0" applyNumberFormat="1" applyFont="1" applyBorder="1"/>
    <xf numFmtId="0" fontId="8" fillId="2" borderId="2" xfId="0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wrapText="1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theme="1" tint="4.9989318521683403E-2"/>
      </font>
      <fill>
        <gradientFill type="path">
          <stop position="0">
            <color theme="7" tint="0.40000610370189521"/>
          </stop>
          <stop position="1">
            <color rgb="FFFFFF00"/>
          </stop>
        </gradient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71" formatCode="&quot;₹&quot;\ #,##0.00"/>
    </dxf>
    <dxf>
      <numFmt numFmtId="0" formatCode="General"/>
    </dxf>
    <dxf>
      <numFmt numFmtId="0" formatCode="General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" formatCode="0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640006D-84EC-416F-9A89-7351F63CFFBD}" autoFormatId="16" applyNumberFormats="0" applyBorderFormats="0" applyFontFormats="0" applyPatternFormats="0" applyAlignmentFormats="0" applyWidthHeightFormats="0">
  <queryTableRefresh nextId="7">
    <queryTableFields count="6">
      <queryTableField id="1" name="Manufacturing Date" tableColumnId="1"/>
      <queryTableField id="2" name="Country Code" tableColumnId="2"/>
      <queryTableField id="3" name="Product Brand" tableColumnId="3"/>
      <queryTableField id="4" name="Price ($)" tableColumnId="4"/>
      <queryTableField id="5" name="Quantity" tableColumnId="5"/>
      <queryTableField id="6" name="Category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C14622-04EC-4593-82E9-A6D0AFE97D50}" name="Table1_1" displayName="Table1_1" ref="A1:F32" tableType="queryTable" totalsRowShown="0">
  <autoFilter ref="A1:F32" xr:uid="{EEC14622-04EC-4593-82E9-A6D0AFE97D50}"/>
  <tableColumns count="6">
    <tableColumn id="1" xr3:uid="{80F94A79-57A5-446C-BD84-E7FD0CC09019}" uniqueName="1" name="Manufacturing Date" queryTableFieldId="1" dataDxfId="9"/>
    <tableColumn id="2" xr3:uid="{3F37E185-4A02-4CF6-B19B-9A619F73DE39}" uniqueName="2" name="Country Code" queryTableFieldId="2" dataDxfId="8"/>
    <tableColumn id="3" xr3:uid="{E161E53C-0B57-445C-B97B-0EEC1CE5293C}" uniqueName="3" name="Product Brand" queryTableFieldId="3" dataDxfId="7"/>
    <tableColumn id="4" xr3:uid="{1CC08DCB-7836-42EF-8DD4-C4208AC5A4EE}" uniqueName="4" name="Price ($)" queryTableFieldId="4" dataDxfId="6"/>
    <tableColumn id="5" xr3:uid="{EC62E8F7-F0E9-40CC-99ED-12F4E6AF6CA6}" uniqueName="5" name="Quantity" queryTableFieldId="5"/>
    <tableColumn id="6" xr3:uid="{0F7C246F-F470-4822-B3B0-FF7E7D6D7E08}" uniqueName="6" name="Category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A9FD3-6F54-4BDF-A386-AADB7B298D09}" name="Table1" displayName="Table1" ref="L3:R34" totalsRowShown="0" headerRowDxfId="10" headerRowBorderDxfId="17" tableBorderDxfId="18" totalsRowBorderDxfId="16">
  <autoFilter ref="L3:R34" xr:uid="{B15A9FD3-6F54-4BDF-A386-AADB7B298D09}"/>
  <tableColumns count="7">
    <tableColumn id="1" xr3:uid="{F95E551B-CAEB-4A2F-B37B-64A248E066EF}" name="Product ID" dataDxfId="15"/>
    <tableColumn id="2" xr3:uid="{8F6DADCB-D215-4262-A3C4-AF032C76A736}" name="Product Name"/>
    <tableColumn id="3" xr3:uid="{5747B08F-17A2-4969-908E-BC2BD110658A}" name="Brand Name" dataDxfId="14"/>
    <tableColumn id="4" xr3:uid="{7DD5066C-2D57-45B3-8466-FF6EE0A3FA42}" name="Price ($)" dataDxfId="13"/>
    <tableColumn id="5" xr3:uid="{DFE7D94F-D10D-4DCE-8DCF-C7FCCC3850E5}" name="Quantity" dataDxfId="12"/>
    <tableColumn id="6" xr3:uid="{389B961D-0CC0-4B1F-97DA-75F67AEA2475}" name="Category" dataDxfId="11"/>
    <tableColumn id="8" xr3:uid="{1859F84E-094D-4683-AB34-7DF493185A98}" name="Correcting text forms in Product Name" dataDxfId="5">
      <calculatedColumnFormula>PROPER(TRIM(CLEAN(Table1[[#This Row],[Product Name]])))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N10" sqref="N1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topLeftCell="A16" workbookViewId="0">
      <selection activeCell="F35" sqref="F35"/>
    </sheetView>
  </sheetViews>
  <sheetFormatPr defaultColWidth="12.6640625" defaultRowHeight="15" customHeight="1" x14ac:dyDescent="0.25"/>
  <cols>
    <col min="1" max="6" width="12.6640625" customWidth="1"/>
  </cols>
  <sheetData>
    <row r="1" spans="1: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</row>
    <row r="4" spans="1: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</row>
    <row r="5" spans="1: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</row>
    <row r="6" spans="1: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E68C3-7FC9-4B68-9F4A-F0FA3394F3CB}">
  <dimension ref="A1:F32"/>
  <sheetViews>
    <sheetView topLeftCell="A4" workbookViewId="0">
      <selection activeCell="J9" sqref="J9"/>
    </sheetView>
  </sheetViews>
  <sheetFormatPr defaultRowHeight="13.2" x14ac:dyDescent="0.25"/>
  <cols>
    <col min="1" max="1" width="20.44140625" bestFit="1" customWidth="1"/>
    <col min="2" max="2" width="15.5546875" bestFit="1" customWidth="1"/>
    <col min="3" max="3" width="21.44140625" bestFit="1" customWidth="1"/>
    <col min="4" max="4" width="10.5546875" bestFit="1" customWidth="1"/>
    <col min="5" max="5" width="10.6640625" bestFit="1" customWidth="1"/>
    <col min="6" max="6" width="11.21875" bestFit="1" customWidth="1"/>
  </cols>
  <sheetData>
    <row r="1" spans="1:6" x14ac:dyDescent="0.25">
      <c r="A1" t="s">
        <v>123</v>
      </c>
      <c r="B1" t="s">
        <v>124</v>
      </c>
      <c r="C1" t="s">
        <v>125</v>
      </c>
      <c r="D1" t="s">
        <v>22</v>
      </c>
      <c r="E1" t="s">
        <v>23</v>
      </c>
      <c r="F1" t="s">
        <v>24</v>
      </c>
    </row>
    <row r="2" spans="1:6" x14ac:dyDescent="0.25">
      <c r="A2" s="30">
        <v>45685</v>
      </c>
      <c r="B2" s="31" t="s">
        <v>157</v>
      </c>
      <c r="C2" s="31" t="s">
        <v>126</v>
      </c>
      <c r="D2" s="32">
        <v>1000</v>
      </c>
      <c r="E2">
        <v>30</v>
      </c>
      <c r="F2" t="s">
        <v>28</v>
      </c>
    </row>
    <row r="3" spans="1:6" x14ac:dyDescent="0.25">
      <c r="A3" s="30">
        <v>45703</v>
      </c>
      <c r="B3" s="31" t="s">
        <v>157</v>
      </c>
      <c r="C3" s="31" t="s">
        <v>127</v>
      </c>
      <c r="D3" s="32">
        <v>80</v>
      </c>
      <c r="E3">
        <v>15</v>
      </c>
      <c r="F3" t="s">
        <v>32</v>
      </c>
    </row>
    <row r="4" spans="1:6" x14ac:dyDescent="0.25">
      <c r="A4" s="30">
        <v>45719</v>
      </c>
      <c r="B4" s="31" t="s">
        <v>157</v>
      </c>
      <c r="C4" s="31" t="s">
        <v>128</v>
      </c>
      <c r="D4" s="32">
        <v>130</v>
      </c>
      <c r="E4">
        <v>40</v>
      </c>
      <c r="F4" t="s">
        <v>36</v>
      </c>
    </row>
    <row r="5" spans="1:6" x14ac:dyDescent="0.25">
      <c r="A5" s="30">
        <v>45758</v>
      </c>
      <c r="B5" s="31" t="s">
        <v>157</v>
      </c>
      <c r="C5" s="31" t="s">
        <v>129</v>
      </c>
      <c r="D5" s="32">
        <v>900</v>
      </c>
      <c r="E5">
        <v>25</v>
      </c>
      <c r="F5" t="s">
        <v>28</v>
      </c>
    </row>
    <row r="6" spans="1:6" x14ac:dyDescent="0.25">
      <c r="A6" s="30">
        <v>45799</v>
      </c>
      <c r="B6" s="31" t="s">
        <v>157</v>
      </c>
      <c r="C6" s="31" t="s">
        <v>130</v>
      </c>
      <c r="D6" s="32">
        <v>70</v>
      </c>
      <c r="E6">
        <v>20</v>
      </c>
      <c r="F6" t="s">
        <v>119</v>
      </c>
    </row>
    <row r="7" spans="1:6" x14ac:dyDescent="0.25">
      <c r="A7" s="30">
        <v>45815</v>
      </c>
      <c r="B7" s="31" t="s">
        <v>158</v>
      </c>
      <c r="C7" s="31" t="s">
        <v>131</v>
      </c>
      <c r="D7" s="32">
        <v>309</v>
      </c>
      <c r="E7">
        <v>45</v>
      </c>
      <c r="F7" t="s">
        <v>28</v>
      </c>
    </row>
    <row r="8" spans="1:6" x14ac:dyDescent="0.25">
      <c r="A8" s="30">
        <v>45857</v>
      </c>
      <c r="B8" s="31" t="s">
        <v>158</v>
      </c>
      <c r="C8" s="31" t="s">
        <v>132</v>
      </c>
      <c r="D8" s="32">
        <v>30</v>
      </c>
      <c r="E8">
        <v>5</v>
      </c>
      <c r="F8" t="s">
        <v>32</v>
      </c>
    </row>
    <row r="9" spans="1:6" x14ac:dyDescent="0.25">
      <c r="A9" s="30">
        <v>45892</v>
      </c>
      <c r="B9" s="31" t="s">
        <v>158</v>
      </c>
      <c r="C9" s="31" t="s">
        <v>133</v>
      </c>
      <c r="D9" s="32">
        <v>90</v>
      </c>
      <c r="E9">
        <v>35</v>
      </c>
      <c r="F9" t="s">
        <v>36</v>
      </c>
    </row>
    <row r="10" spans="1:6" x14ac:dyDescent="0.25">
      <c r="A10" s="30">
        <v>45905</v>
      </c>
      <c r="B10" s="31" t="s">
        <v>158</v>
      </c>
      <c r="C10" s="31" t="s">
        <v>134</v>
      </c>
      <c r="D10" s="32">
        <v>500</v>
      </c>
      <c r="E10">
        <v>50</v>
      </c>
      <c r="F10" t="s">
        <v>28</v>
      </c>
    </row>
    <row r="11" spans="1:6" x14ac:dyDescent="0.25">
      <c r="A11" s="30">
        <v>45944</v>
      </c>
      <c r="B11" s="31" t="s">
        <v>158</v>
      </c>
      <c r="C11" s="31" t="s">
        <v>135</v>
      </c>
      <c r="D11" s="32">
        <v>130</v>
      </c>
      <c r="E11">
        <v>10</v>
      </c>
      <c r="F11" t="s">
        <v>59</v>
      </c>
    </row>
    <row r="12" spans="1:6" x14ac:dyDescent="0.25">
      <c r="A12" s="30">
        <v>45825</v>
      </c>
      <c r="B12" s="31" t="s">
        <v>159</v>
      </c>
      <c r="C12" s="31" t="s">
        <v>136</v>
      </c>
      <c r="D12" s="32">
        <v>950</v>
      </c>
      <c r="E12">
        <v>25</v>
      </c>
      <c r="F12" t="s">
        <v>28</v>
      </c>
    </row>
    <row r="13" spans="1:6" x14ac:dyDescent="0.25">
      <c r="A13" s="30">
        <v>45986</v>
      </c>
      <c r="B13" s="31" t="s">
        <v>160</v>
      </c>
      <c r="C13" s="31" t="s">
        <v>137</v>
      </c>
      <c r="D13" s="32">
        <v>90</v>
      </c>
      <c r="E13">
        <v>40</v>
      </c>
      <c r="F13" t="s">
        <v>119</v>
      </c>
    </row>
    <row r="14" spans="1:6" x14ac:dyDescent="0.25">
      <c r="A14" s="30">
        <v>45999</v>
      </c>
      <c r="B14" s="31" t="s">
        <v>161</v>
      </c>
      <c r="C14" s="31" t="s">
        <v>138</v>
      </c>
      <c r="D14" s="32">
        <v>120</v>
      </c>
      <c r="E14">
        <v>35</v>
      </c>
      <c r="F14" t="s">
        <v>119</v>
      </c>
    </row>
    <row r="15" spans="1:6" x14ac:dyDescent="0.25">
      <c r="A15" s="30">
        <v>45706</v>
      </c>
      <c r="B15" s="31" t="s">
        <v>162</v>
      </c>
      <c r="C15" s="31" t="s">
        <v>139</v>
      </c>
      <c r="D15" s="32">
        <v>150</v>
      </c>
      <c r="E15">
        <v>15</v>
      </c>
      <c r="F15" t="s">
        <v>28</v>
      </c>
    </row>
    <row r="16" spans="1:6" x14ac:dyDescent="0.25">
      <c r="A16" s="30">
        <v>45763</v>
      </c>
      <c r="B16" s="31" t="s">
        <v>163</v>
      </c>
      <c r="C16" s="31" t="s">
        <v>140</v>
      </c>
      <c r="D16" s="32">
        <v>250</v>
      </c>
      <c r="E16">
        <v>20</v>
      </c>
      <c r="F16" t="s">
        <v>46</v>
      </c>
    </row>
    <row r="17" spans="1:6" x14ac:dyDescent="0.25">
      <c r="A17" s="30">
        <v>45890</v>
      </c>
      <c r="B17" s="31" t="s">
        <v>162</v>
      </c>
      <c r="C17" s="31" t="s">
        <v>141</v>
      </c>
      <c r="D17" s="32">
        <v>50</v>
      </c>
      <c r="E17">
        <v>35</v>
      </c>
      <c r="F17" t="s">
        <v>75</v>
      </c>
    </row>
    <row r="18" spans="1:6" x14ac:dyDescent="0.25">
      <c r="A18" s="30">
        <v>45889</v>
      </c>
      <c r="B18" s="31" t="s">
        <v>164</v>
      </c>
      <c r="C18" s="31" t="s">
        <v>142</v>
      </c>
      <c r="D18" s="32">
        <v>160</v>
      </c>
      <c r="E18">
        <v>15</v>
      </c>
      <c r="F18" t="s">
        <v>46</v>
      </c>
    </row>
    <row r="19" spans="1:6" x14ac:dyDescent="0.25">
      <c r="A19" s="30">
        <v>45684</v>
      </c>
      <c r="B19" s="31" t="s">
        <v>165</v>
      </c>
      <c r="C19" s="31" t="s">
        <v>143</v>
      </c>
      <c r="D19" s="32">
        <v>980</v>
      </c>
      <c r="E19">
        <v>10</v>
      </c>
      <c r="F19" t="s">
        <v>28</v>
      </c>
    </row>
    <row r="20" spans="1:6" x14ac:dyDescent="0.25">
      <c r="A20" s="30">
        <v>45717</v>
      </c>
      <c r="B20" s="31" t="s">
        <v>158</v>
      </c>
      <c r="C20" s="31" t="s">
        <v>144</v>
      </c>
      <c r="D20" s="32">
        <v>150</v>
      </c>
      <c r="E20">
        <v>15</v>
      </c>
      <c r="F20" t="s">
        <v>32</v>
      </c>
    </row>
    <row r="21" spans="1:6" x14ac:dyDescent="0.25">
      <c r="A21" s="30">
        <v>45883</v>
      </c>
      <c r="B21" s="31" t="s">
        <v>157</v>
      </c>
      <c r="C21" s="31" t="s">
        <v>145</v>
      </c>
      <c r="D21" s="32">
        <v>309</v>
      </c>
      <c r="E21">
        <v>10</v>
      </c>
      <c r="F21" t="s">
        <v>59</v>
      </c>
    </row>
    <row r="22" spans="1:6" x14ac:dyDescent="0.25">
      <c r="A22" s="30">
        <v>45791</v>
      </c>
      <c r="B22" s="31" t="s">
        <v>166</v>
      </c>
      <c r="C22" s="31" t="s">
        <v>146</v>
      </c>
      <c r="D22" s="32">
        <v>700</v>
      </c>
      <c r="E22">
        <v>50</v>
      </c>
      <c r="F22" t="s">
        <v>28</v>
      </c>
    </row>
    <row r="23" spans="1:6" x14ac:dyDescent="0.25">
      <c r="A23" s="30">
        <v>45666</v>
      </c>
      <c r="B23" s="31" t="s">
        <v>162</v>
      </c>
      <c r="C23" s="31" t="s">
        <v>147</v>
      </c>
      <c r="D23" s="32">
        <v>80</v>
      </c>
      <c r="E23">
        <v>20</v>
      </c>
      <c r="F23" t="s">
        <v>36</v>
      </c>
    </row>
    <row r="24" spans="1:6" x14ac:dyDescent="0.25">
      <c r="A24" s="30">
        <v>45857</v>
      </c>
      <c r="B24" s="31" t="s">
        <v>167</v>
      </c>
      <c r="C24" s="31" t="s">
        <v>148</v>
      </c>
      <c r="D24" s="32">
        <v>150</v>
      </c>
      <c r="E24">
        <v>30</v>
      </c>
      <c r="F24" t="s">
        <v>119</v>
      </c>
    </row>
    <row r="25" spans="1:6" x14ac:dyDescent="0.25">
      <c r="A25" s="30">
        <v>45929</v>
      </c>
      <c r="B25" s="31" t="s">
        <v>162</v>
      </c>
      <c r="C25" s="31" t="s">
        <v>149</v>
      </c>
      <c r="D25" s="32">
        <v>800</v>
      </c>
      <c r="E25">
        <v>45</v>
      </c>
      <c r="F25" t="s">
        <v>28</v>
      </c>
    </row>
    <row r="26" spans="1:6" x14ac:dyDescent="0.25">
      <c r="A26" s="30">
        <v>45811</v>
      </c>
      <c r="B26" s="31" t="s">
        <v>162</v>
      </c>
      <c r="C26" s="31" t="s">
        <v>150</v>
      </c>
      <c r="D26" s="32">
        <v>309</v>
      </c>
      <c r="E26">
        <v>25</v>
      </c>
      <c r="F26" t="s">
        <v>32</v>
      </c>
    </row>
    <row r="27" spans="1:6" x14ac:dyDescent="0.25">
      <c r="A27" s="30">
        <v>45849</v>
      </c>
      <c r="B27" s="31" t="s">
        <v>162</v>
      </c>
      <c r="C27" s="31" t="s">
        <v>151</v>
      </c>
      <c r="D27" s="32">
        <v>400</v>
      </c>
      <c r="E27">
        <v>40</v>
      </c>
      <c r="F27" t="s">
        <v>36</v>
      </c>
    </row>
    <row r="28" spans="1:6" x14ac:dyDescent="0.25">
      <c r="A28" s="30">
        <v>45723</v>
      </c>
      <c r="B28" s="31" t="s">
        <v>162</v>
      </c>
      <c r="C28" s="31" t="s">
        <v>152</v>
      </c>
      <c r="D28" s="32">
        <v>60</v>
      </c>
      <c r="E28">
        <v>30</v>
      </c>
      <c r="F28" t="s">
        <v>32</v>
      </c>
    </row>
    <row r="29" spans="1:6" x14ac:dyDescent="0.25">
      <c r="A29" s="30">
        <v>45760</v>
      </c>
      <c r="B29" s="31" t="s">
        <v>162</v>
      </c>
      <c r="C29" s="31" t="s">
        <v>153</v>
      </c>
      <c r="D29" s="32">
        <v>40</v>
      </c>
      <c r="E29">
        <v>10</v>
      </c>
      <c r="F29" t="s">
        <v>36</v>
      </c>
    </row>
    <row r="30" spans="1:6" x14ac:dyDescent="0.25">
      <c r="A30" s="30">
        <v>45801</v>
      </c>
      <c r="B30" s="31" t="s">
        <v>162</v>
      </c>
      <c r="C30" s="31" t="s">
        <v>154</v>
      </c>
      <c r="D30" s="32">
        <v>130</v>
      </c>
      <c r="E30">
        <v>5</v>
      </c>
      <c r="F30" t="s">
        <v>28</v>
      </c>
    </row>
    <row r="31" spans="1:6" x14ac:dyDescent="0.25">
      <c r="A31" s="30">
        <v>45993</v>
      </c>
      <c r="B31" s="31" t="s">
        <v>162</v>
      </c>
      <c r="C31" s="31" t="s">
        <v>155</v>
      </c>
      <c r="D31" s="32">
        <v>50</v>
      </c>
      <c r="E31">
        <v>50</v>
      </c>
      <c r="F31" t="s">
        <v>32</v>
      </c>
    </row>
    <row r="32" spans="1:6" x14ac:dyDescent="0.25">
      <c r="A32" s="30">
        <v>45847</v>
      </c>
      <c r="B32" s="31" t="s">
        <v>168</v>
      </c>
      <c r="C32" s="31" t="s">
        <v>156</v>
      </c>
      <c r="D32" s="32">
        <v>100</v>
      </c>
      <c r="E32">
        <v>20</v>
      </c>
      <c r="F32" t="s">
        <v>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587A7-DBEE-4886-B99E-8A9B5B82D883}">
  <dimension ref="A2:R37"/>
  <sheetViews>
    <sheetView tabSelected="1" topLeftCell="G1" workbookViewId="0">
      <selection activeCell="J12" sqref="J12"/>
    </sheetView>
  </sheetViews>
  <sheetFormatPr defaultRowHeight="13.2" x14ac:dyDescent="0.25"/>
  <cols>
    <col min="1" max="5" width="8.88671875" customWidth="1"/>
    <col min="6" max="6" width="11" customWidth="1"/>
    <col min="8" max="8" width="11.5546875" bestFit="1" customWidth="1"/>
    <col min="9" max="9" width="11" bestFit="1" customWidth="1"/>
    <col min="10" max="10" width="32.6640625" bestFit="1" customWidth="1"/>
    <col min="12" max="12" width="12.21875" customWidth="1"/>
    <col min="13" max="13" width="15.33203125" customWidth="1"/>
    <col min="14" max="14" width="13.6640625" customWidth="1"/>
    <col min="15" max="15" width="10.21875" customWidth="1"/>
    <col min="16" max="16" width="10.33203125" customWidth="1"/>
    <col min="17" max="17" width="11" bestFit="1" customWidth="1"/>
    <col min="18" max="18" width="11" customWidth="1"/>
  </cols>
  <sheetData>
    <row r="2" spans="1:18" ht="26.4" customHeight="1" x14ac:dyDescent="0.25">
      <c r="A2" s="33" t="s">
        <v>169</v>
      </c>
      <c r="B2" s="33"/>
      <c r="C2" s="33"/>
      <c r="D2" s="33"/>
      <c r="E2" s="33"/>
      <c r="F2" s="33"/>
      <c r="L2" s="39" t="s">
        <v>170</v>
      </c>
      <c r="M2" s="40"/>
      <c r="N2" s="40"/>
      <c r="O2" s="40"/>
      <c r="P2" s="40"/>
      <c r="Q2" s="40"/>
      <c r="R2" s="40"/>
    </row>
    <row r="3" spans="1:18" ht="52.8" x14ac:dyDescent="0.25">
      <c r="A3" s="9" t="s">
        <v>19</v>
      </c>
      <c r="B3" s="9" t="s">
        <v>20</v>
      </c>
      <c r="C3" s="9" t="s">
        <v>21</v>
      </c>
      <c r="D3" s="9" t="s">
        <v>22</v>
      </c>
      <c r="E3" s="9" t="s">
        <v>23</v>
      </c>
      <c r="F3" s="9" t="s">
        <v>24</v>
      </c>
      <c r="H3" s="12" t="s">
        <v>116</v>
      </c>
      <c r="I3" s="12" t="s">
        <v>118</v>
      </c>
      <c r="L3" s="22" t="s">
        <v>19</v>
      </c>
      <c r="M3" s="23" t="s">
        <v>20</v>
      </c>
      <c r="N3" s="23" t="s">
        <v>21</v>
      </c>
      <c r="O3" s="23" t="s">
        <v>22</v>
      </c>
      <c r="P3" s="23" t="s">
        <v>23</v>
      </c>
      <c r="Q3" s="24" t="s">
        <v>24</v>
      </c>
      <c r="R3" s="41" t="s">
        <v>171</v>
      </c>
    </row>
    <row r="4" spans="1:18" x14ac:dyDescent="0.25">
      <c r="A4" s="10" t="s">
        <v>25</v>
      </c>
      <c r="B4" s="10" t="s">
        <v>26</v>
      </c>
      <c r="C4" s="10" t="s">
        <v>27</v>
      </c>
      <c r="D4" s="10">
        <v>1000</v>
      </c>
      <c r="E4" s="10">
        <v>30</v>
      </c>
      <c r="F4" s="10" t="s">
        <v>28</v>
      </c>
      <c r="H4" s="13">
        <f>IF(ISBLANK(D4),AVERAGE($D$4:$D$37),D4)</f>
        <v>1000</v>
      </c>
      <c r="I4" t="str">
        <f>IF(ISBLANK(F4),"UnKnown",F4)</f>
        <v>Electronics</v>
      </c>
      <c r="L4" s="18" t="s">
        <v>25</v>
      </c>
      <c r="M4" s="16" t="s">
        <v>26</v>
      </c>
      <c r="N4" s="10" t="s">
        <v>27</v>
      </c>
      <c r="O4" s="14">
        <v>1000</v>
      </c>
      <c r="P4" s="10">
        <v>30</v>
      </c>
      <c r="Q4" s="20" t="s">
        <v>28</v>
      </c>
      <c r="R4" s="20" t="str">
        <f>PROPER(TRIM(CLEAN(Table1[[#This Row],[Product Name]])))</f>
        <v>Laptop</v>
      </c>
    </row>
    <row r="5" spans="1:18" x14ac:dyDescent="0.25">
      <c r="A5" s="11" t="s">
        <v>29</v>
      </c>
      <c r="B5" s="11" t="s">
        <v>30</v>
      </c>
      <c r="C5" s="11" t="s">
        <v>31</v>
      </c>
      <c r="D5" s="11">
        <v>80</v>
      </c>
      <c r="E5" s="11">
        <v>15</v>
      </c>
      <c r="F5" s="11" t="s">
        <v>32</v>
      </c>
      <c r="H5" s="13">
        <f>IF(ISBLANK(D5),AVERAGE($D$4:$D$37),D5)</f>
        <v>80</v>
      </c>
      <c r="I5" t="str">
        <f>IF(ISBLANK(F5),"UnKnown",F5)</f>
        <v>Fashion</v>
      </c>
      <c r="L5" s="19" t="s">
        <v>29</v>
      </c>
      <c r="M5" s="17" t="s">
        <v>30</v>
      </c>
      <c r="N5" s="11" t="s">
        <v>31</v>
      </c>
      <c r="O5" s="15">
        <v>80</v>
      </c>
      <c r="P5" s="11">
        <v>15</v>
      </c>
      <c r="Q5" s="21" t="s">
        <v>32</v>
      </c>
      <c r="R5" s="21" t="str">
        <f>PROPER(TRIM(CLEAN(Table1[[#This Row],[Product Name]])))</f>
        <v>Sneakers</v>
      </c>
    </row>
    <row r="6" spans="1:18" x14ac:dyDescent="0.25">
      <c r="A6" s="10" t="s">
        <v>33</v>
      </c>
      <c r="B6" s="10" t="s">
        <v>34</v>
      </c>
      <c r="C6" s="10" t="s">
        <v>35</v>
      </c>
      <c r="D6" s="10">
        <v>130</v>
      </c>
      <c r="E6" s="10">
        <v>40</v>
      </c>
      <c r="F6" s="10" t="s">
        <v>36</v>
      </c>
      <c r="H6" s="13">
        <f>IF(ISBLANK(D6),AVERAGE($D$4:$D$37),D6)</f>
        <v>130</v>
      </c>
      <c r="I6" t="str">
        <f>IF(ISBLANK(F6),"UnKnown",F6)</f>
        <v>Kitchen</v>
      </c>
      <c r="L6" s="18" t="s">
        <v>33</v>
      </c>
      <c r="M6" s="16" t="s">
        <v>34</v>
      </c>
      <c r="N6" s="10" t="s">
        <v>35</v>
      </c>
      <c r="O6" s="14">
        <v>130</v>
      </c>
      <c r="P6" s="10">
        <v>40</v>
      </c>
      <c r="Q6" s="20" t="s">
        <v>36</v>
      </c>
      <c r="R6" s="20" t="str">
        <f>PROPER(TRIM(CLEAN(Table1[[#This Row],[Product Name]])))</f>
        <v>Coffee Maker</v>
      </c>
    </row>
    <row r="7" spans="1:18" x14ac:dyDescent="0.25">
      <c r="A7" s="11" t="s">
        <v>37</v>
      </c>
      <c r="B7" s="11" t="s">
        <v>38</v>
      </c>
      <c r="C7" s="11" t="s">
        <v>39</v>
      </c>
      <c r="D7" s="11">
        <v>900</v>
      </c>
      <c r="E7" s="11">
        <v>25</v>
      </c>
      <c r="F7" s="11" t="s">
        <v>28</v>
      </c>
      <c r="H7" s="13">
        <f>IF(ISBLANK(D7),AVERAGE($D$4:$D$37),D7)</f>
        <v>900</v>
      </c>
      <c r="I7" t="str">
        <f>IF(ISBLANK(F7),"UnKnown",F7)</f>
        <v>Electronics</v>
      </c>
      <c r="J7" s="37" t="s">
        <v>117</v>
      </c>
      <c r="K7" s="38">
        <f>AVERAGE(D4:D37)</f>
        <v>309.35483870967744</v>
      </c>
      <c r="L7" s="19" t="s">
        <v>37</v>
      </c>
      <c r="M7" s="17" t="s">
        <v>38</v>
      </c>
      <c r="N7" s="11" t="s">
        <v>39</v>
      </c>
      <c r="O7" s="15">
        <v>900</v>
      </c>
      <c r="P7" s="11">
        <v>25</v>
      </c>
      <c r="Q7" s="21" t="s">
        <v>28</v>
      </c>
      <c r="R7" s="21" t="str">
        <f>PROPER(TRIM(CLEAN(Table1[[#This Row],[Product Name]])))</f>
        <v>Smartphone</v>
      </c>
    </row>
    <row r="8" spans="1:18" x14ac:dyDescent="0.25">
      <c r="A8" s="10" t="s">
        <v>40</v>
      </c>
      <c r="B8" s="10" t="s">
        <v>41</v>
      </c>
      <c r="C8" s="10" t="s">
        <v>42</v>
      </c>
      <c r="D8" s="10">
        <v>70</v>
      </c>
      <c r="E8" s="10">
        <v>20</v>
      </c>
      <c r="F8" s="10"/>
      <c r="H8" s="13">
        <f>IF(ISBLANK(D8),AVERAGE($D$4:$D$37),D8)</f>
        <v>70</v>
      </c>
      <c r="I8" t="str">
        <f>IF(ISBLANK(F8),"UnKnown",F8)</f>
        <v>UnKnown</v>
      </c>
      <c r="L8" s="18" t="s">
        <v>40</v>
      </c>
      <c r="M8" s="16" t="s">
        <v>41</v>
      </c>
      <c r="N8" s="10" t="s">
        <v>42</v>
      </c>
      <c r="O8" s="14">
        <v>70</v>
      </c>
      <c r="P8" s="10">
        <v>20</v>
      </c>
      <c r="Q8" s="20" t="s">
        <v>119</v>
      </c>
      <c r="R8" s="20" t="str">
        <f>PROPER(TRIM(CLEAN(Table1[[#This Row],[Product Name]])))</f>
        <v>Backpack</v>
      </c>
    </row>
    <row r="9" spans="1:18" x14ac:dyDescent="0.25">
      <c r="A9" s="11" t="s">
        <v>43</v>
      </c>
      <c r="B9" s="11" t="s">
        <v>44</v>
      </c>
      <c r="C9" s="11" t="s">
        <v>45</v>
      </c>
      <c r="D9" s="11"/>
      <c r="E9" s="11">
        <v>45</v>
      </c>
      <c r="F9" s="11" t="s">
        <v>28</v>
      </c>
      <c r="H9" s="13">
        <f>IF(ISBLANK(D9),AVERAGE($D$4:$D$37),D9)</f>
        <v>309.35483870967744</v>
      </c>
      <c r="I9" t="str">
        <f>IF(ISBLANK(F9),"UnKnown",F9)</f>
        <v>Electronics</v>
      </c>
      <c r="J9" s="34" t="s">
        <v>120</v>
      </c>
      <c r="K9" s="35">
        <f>COUNTA(A4:A37)</f>
        <v>34</v>
      </c>
      <c r="L9" s="19" t="s">
        <v>43</v>
      </c>
      <c r="M9" s="17" t="s">
        <v>44</v>
      </c>
      <c r="N9" s="11" t="s">
        <v>45</v>
      </c>
      <c r="O9" s="15">
        <v>309.35483870967744</v>
      </c>
      <c r="P9" s="11">
        <v>45</v>
      </c>
      <c r="Q9" s="21" t="s">
        <v>28</v>
      </c>
      <c r="R9" s="21" t="str">
        <f>PROPER(TRIM(CLEAN(Table1[[#This Row],[Product Name]])))</f>
        <v>Headphones</v>
      </c>
    </row>
    <row r="10" spans="1:18" x14ac:dyDescent="0.25">
      <c r="A10" s="10" t="s">
        <v>47</v>
      </c>
      <c r="B10" s="10" t="s">
        <v>48</v>
      </c>
      <c r="C10" s="10" t="s">
        <v>49</v>
      </c>
      <c r="D10" s="10">
        <v>30</v>
      </c>
      <c r="E10" s="10">
        <v>5</v>
      </c>
      <c r="F10" s="10" t="s">
        <v>32</v>
      </c>
      <c r="H10" s="13">
        <f>IF(ISBLANK(D10),AVERAGE($D$4:$D$37),D10)</f>
        <v>30</v>
      </c>
      <c r="I10" t="str">
        <f>IF(ISBLANK(F10),"UnKnown",F10)</f>
        <v>Fashion</v>
      </c>
      <c r="J10" s="34" t="s">
        <v>121</v>
      </c>
      <c r="K10" s="35">
        <f>COUNTA(L4:L34)</f>
        <v>31</v>
      </c>
      <c r="L10" s="18" t="s">
        <v>47</v>
      </c>
      <c r="M10" s="16" t="s">
        <v>48</v>
      </c>
      <c r="N10" s="10" t="s">
        <v>49</v>
      </c>
      <c r="O10" s="14">
        <v>30</v>
      </c>
      <c r="P10" s="10">
        <v>5</v>
      </c>
      <c r="Q10" s="20" t="s">
        <v>32</v>
      </c>
      <c r="R10" s="20" t="str">
        <f>PROPER(TRIM(CLEAN(Table1[[#This Row],[Product Name]])))</f>
        <v>T-Shirt</v>
      </c>
    </row>
    <row r="11" spans="1:18" x14ac:dyDescent="0.25">
      <c r="A11" s="11" t="s">
        <v>50</v>
      </c>
      <c r="B11" s="11" t="s">
        <v>51</v>
      </c>
      <c r="C11" s="11" t="s">
        <v>52</v>
      </c>
      <c r="D11" s="11">
        <v>90</v>
      </c>
      <c r="E11" s="11">
        <v>35</v>
      </c>
      <c r="F11" s="11" t="s">
        <v>36</v>
      </c>
      <c r="H11" s="13">
        <f>IF(ISBLANK(D11),AVERAGE($D$4:$D$37),D11)</f>
        <v>90</v>
      </c>
      <c r="I11" t="str">
        <f>IF(ISBLANK(F11),"UnKnown",F11)</f>
        <v>Kitchen</v>
      </c>
      <c r="L11" s="19" t="s">
        <v>50</v>
      </c>
      <c r="M11" s="17" t="s">
        <v>51</v>
      </c>
      <c r="N11" s="11" t="s">
        <v>52</v>
      </c>
      <c r="O11" s="15">
        <v>90</v>
      </c>
      <c r="P11" s="11">
        <v>35</v>
      </c>
      <c r="Q11" s="21" t="s">
        <v>36</v>
      </c>
      <c r="R11" s="21" t="str">
        <f>PROPER(TRIM(CLEAN(Table1[[#This Row],[Product Name]])))</f>
        <v>Blender</v>
      </c>
    </row>
    <row r="12" spans="1:18" ht="26.4" x14ac:dyDescent="0.25">
      <c r="A12" s="10" t="s">
        <v>53</v>
      </c>
      <c r="B12" s="10" t="s">
        <v>54</v>
      </c>
      <c r="C12" s="10" t="s">
        <v>55</v>
      </c>
      <c r="D12" s="10">
        <v>500</v>
      </c>
      <c r="E12" s="10">
        <v>50</v>
      </c>
      <c r="F12" s="10" t="s">
        <v>28</v>
      </c>
      <c r="H12" s="13">
        <f>IF(ISBLANK(D12),AVERAGE($D$4:$D$37),D12)</f>
        <v>500</v>
      </c>
      <c r="I12" t="str">
        <f>IF(ISBLANK(F12),"UnKnown",F12)</f>
        <v>Electronics</v>
      </c>
      <c r="J12" s="36" t="s">
        <v>122</v>
      </c>
      <c r="L12" s="18" t="s">
        <v>53</v>
      </c>
      <c r="M12" s="16" t="s">
        <v>54</v>
      </c>
      <c r="N12" s="10" t="s">
        <v>55</v>
      </c>
      <c r="O12" s="14">
        <v>500</v>
      </c>
      <c r="P12" s="10">
        <v>50</v>
      </c>
      <c r="Q12" s="20" t="s">
        <v>28</v>
      </c>
      <c r="R12" s="20" t="str">
        <f>PROPER(TRIM(CLEAN(Table1[[#This Row],[Product Name]])))</f>
        <v>Tablet</v>
      </c>
    </row>
    <row r="13" spans="1:18" x14ac:dyDescent="0.25">
      <c r="A13" s="11" t="s">
        <v>56</v>
      </c>
      <c r="B13" s="11" t="s">
        <v>57</v>
      </c>
      <c r="C13" s="11" t="s">
        <v>58</v>
      </c>
      <c r="D13" s="11">
        <v>130</v>
      </c>
      <c r="E13" s="11">
        <v>10</v>
      </c>
      <c r="F13" s="11" t="s">
        <v>59</v>
      </c>
      <c r="H13" s="13">
        <f>IF(ISBLANK(D13),AVERAGE($D$4:$D$37),D13)</f>
        <v>130</v>
      </c>
      <c r="I13" t="str">
        <f>IF(ISBLANK(F13),"UnKnown",F13)</f>
        <v>Outdoor</v>
      </c>
      <c r="L13" s="19" t="s">
        <v>56</v>
      </c>
      <c r="M13" s="17" t="s">
        <v>57</v>
      </c>
      <c r="N13" s="11" t="s">
        <v>58</v>
      </c>
      <c r="O13" s="15">
        <v>130</v>
      </c>
      <c r="P13" s="11">
        <v>10</v>
      </c>
      <c r="Q13" s="21" t="s">
        <v>59</v>
      </c>
      <c r="R13" s="21" t="str">
        <f>PROPER(TRIM(CLEAN(Table1[[#This Row],[Product Name]])))</f>
        <v>Hiking Boots</v>
      </c>
    </row>
    <row r="14" spans="1:18" x14ac:dyDescent="0.25">
      <c r="A14" s="10" t="s">
        <v>60</v>
      </c>
      <c r="B14" s="10" t="s">
        <v>61</v>
      </c>
      <c r="C14" s="10" t="s">
        <v>62</v>
      </c>
      <c r="D14" s="10">
        <v>950</v>
      </c>
      <c r="E14" s="10">
        <v>25</v>
      </c>
      <c r="F14" s="10" t="s">
        <v>28</v>
      </c>
      <c r="H14" s="13">
        <f>IF(ISBLANK(D14),AVERAGE($D$4:$D$37),D14)</f>
        <v>950</v>
      </c>
      <c r="I14" t="str">
        <f>IF(ISBLANK(F14),"UnKnown",F14)</f>
        <v>Electronics</v>
      </c>
      <c r="L14" s="18" t="s">
        <v>60</v>
      </c>
      <c r="M14" s="16" t="s">
        <v>61</v>
      </c>
      <c r="N14" s="10" t="s">
        <v>62</v>
      </c>
      <c r="O14" s="14">
        <v>950</v>
      </c>
      <c r="P14" s="10">
        <v>25</v>
      </c>
      <c r="Q14" s="20" t="s">
        <v>28</v>
      </c>
      <c r="R14" s="20" t="str">
        <f>PROPER(TRIM(CLEAN(Table1[[#This Row],[Product Name]])))</f>
        <v>Laptop</v>
      </c>
    </row>
    <row r="15" spans="1:18" x14ac:dyDescent="0.25">
      <c r="A15" s="11" t="s">
        <v>63</v>
      </c>
      <c r="B15" s="11" t="s">
        <v>30</v>
      </c>
      <c r="C15" s="11" t="s">
        <v>49</v>
      </c>
      <c r="D15" s="11">
        <v>90</v>
      </c>
      <c r="E15" s="11">
        <v>40</v>
      </c>
      <c r="F15" s="11"/>
      <c r="H15" s="13">
        <f>IF(ISBLANK(D15),AVERAGE($D$4:$D$37),D15)</f>
        <v>90</v>
      </c>
      <c r="I15" t="str">
        <f>IF(ISBLANK(F15),"UnKnown",F15)</f>
        <v>UnKnown</v>
      </c>
      <c r="L15" s="19" t="s">
        <v>63</v>
      </c>
      <c r="M15" s="17" t="s">
        <v>30</v>
      </c>
      <c r="N15" s="11" t="s">
        <v>49</v>
      </c>
      <c r="O15" s="15">
        <v>90</v>
      </c>
      <c r="P15" s="11">
        <v>40</v>
      </c>
      <c r="Q15" s="21" t="s">
        <v>119</v>
      </c>
      <c r="R15" s="21" t="str">
        <f>PROPER(TRIM(CLEAN(Table1[[#This Row],[Product Name]])))</f>
        <v>Sneakers</v>
      </c>
    </row>
    <row r="16" spans="1:18" x14ac:dyDescent="0.25">
      <c r="A16" s="10" t="s">
        <v>64</v>
      </c>
      <c r="B16" s="10" t="s">
        <v>34</v>
      </c>
      <c r="C16" s="10" t="s">
        <v>65</v>
      </c>
      <c r="D16" s="10">
        <v>120</v>
      </c>
      <c r="E16" s="10">
        <v>35</v>
      </c>
      <c r="F16" s="10"/>
      <c r="H16" s="13">
        <f>IF(ISBLANK(D16),AVERAGE($D$4:$D$37),D16)</f>
        <v>120</v>
      </c>
      <c r="I16" t="str">
        <f>IF(ISBLANK(F16),"UnKnown",F16)</f>
        <v>UnKnown</v>
      </c>
      <c r="L16" s="18" t="s">
        <v>64</v>
      </c>
      <c r="M16" s="16" t="s">
        <v>34</v>
      </c>
      <c r="N16" s="10" t="s">
        <v>65</v>
      </c>
      <c r="O16" s="14">
        <v>120</v>
      </c>
      <c r="P16" s="10">
        <v>35</v>
      </c>
      <c r="Q16" s="20" t="s">
        <v>119</v>
      </c>
      <c r="R16" s="20" t="str">
        <f>PROPER(TRIM(CLEAN(Table1[[#This Row],[Product Name]])))</f>
        <v>Coffee Maker</v>
      </c>
    </row>
    <row r="17" spans="1:18" x14ac:dyDescent="0.25">
      <c r="A17" s="11" t="s">
        <v>66</v>
      </c>
      <c r="B17" s="11" t="s">
        <v>67</v>
      </c>
      <c r="C17" s="11" t="s">
        <v>68</v>
      </c>
      <c r="D17" s="11">
        <v>150</v>
      </c>
      <c r="E17" s="11">
        <v>15</v>
      </c>
      <c r="F17" s="11" t="s">
        <v>28</v>
      </c>
      <c r="H17" s="13">
        <f>IF(ISBLANK(D17),AVERAGE($D$4:$D$37),D17)</f>
        <v>150</v>
      </c>
      <c r="I17" t="str">
        <f>IF(ISBLANK(F17),"UnKnown",F17)</f>
        <v>Electronics</v>
      </c>
      <c r="L17" s="19" t="s">
        <v>66</v>
      </c>
      <c r="M17" s="17" t="s">
        <v>67</v>
      </c>
      <c r="N17" s="11" t="s">
        <v>68</v>
      </c>
      <c r="O17" s="15">
        <v>150</v>
      </c>
      <c r="P17" s="11">
        <v>15</v>
      </c>
      <c r="Q17" s="21" t="s">
        <v>28</v>
      </c>
      <c r="R17" s="21" t="str">
        <f>PROPER(TRIM(CLEAN(Table1[[#This Row],[Product Name]])))</f>
        <v>Smartwatch</v>
      </c>
    </row>
    <row r="18" spans="1:18" x14ac:dyDescent="0.25">
      <c r="A18" s="10" t="s">
        <v>69</v>
      </c>
      <c r="B18" s="10" t="s">
        <v>70</v>
      </c>
      <c r="C18" s="10" t="s">
        <v>71</v>
      </c>
      <c r="D18" s="10">
        <v>250</v>
      </c>
      <c r="E18" s="10">
        <v>20</v>
      </c>
      <c r="F18" s="10" t="s">
        <v>46</v>
      </c>
      <c r="H18" s="13">
        <f>IF(ISBLANK(D18),AVERAGE($D$4:$D$37),D18)</f>
        <v>250</v>
      </c>
      <c r="I18" t="str">
        <f>IF(ISBLANK(F18),"UnKnown",F18)</f>
        <v>Electroni</v>
      </c>
      <c r="L18" s="18" t="s">
        <v>69</v>
      </c>
      <c r="M18" s="16" t="s">
        <v>70</v>
      </c>
      <c r="N18" s="10" t="s">
        <v>71</v>
      </c>
      <c r="O18" s="14">
        <v>250</v>
      </c>
      <c r="P18" s="10">
        <v>20</v>
      </c>
      <c r="Q18" s="20" t="s">
        <v>28</v>
      </c>
      <c r="R18" s="20" t="str">
        <f>PROPER(TRIM(CLEAN(Table1[[#This Row],[Product Name]])))</f>
        <v>Headphones</v>
      </c>
    </row>
    <row r="19" spans="1:18" x14ac:dyDescent="0.25">
      <c r="A19" s="11" t="s">
        <v>72</v>
      </c>
      <c r="B19" s="11" t="s">
        <v>73</v>
      </c>
      <c r="C19" s="11" t="s">
        <v>74</v>
      </c>
      <c r="D19" s="11">
        <v>50</v>
      </c>
      <c r="E19" s="11">
        <v>35</v>
      </c>
      <c r="F19" s="11" t="s">
        <v>75</v>
      </c>
      <c r="H19" s="13">
        <f>IF(ISBLANK(D19),AVERAGE($D$4:$D$37),D19)</f>
        <v>50</v>
      </c>
      <c r="I19" t="str">
        <f>IF(ISBLANK(F19),"UnKnown",F19)</f>
        <v>Accessories</v>
      </c>
      <c r="L19" s="19" t="s">
        <v>72</v>
      </c>
      <c r="M19" s="17" t="s">
        <v>73</v>
      </c>
      <c r="N19" s="11" t="s">
        <v>74</v>
      </c>
      <c r="O19" s="15">
        <v>50</v>
      </c>
      <c r="P19" s="11">
        <v>35</v>
      </c>
      <c r="Q19" s="21" t="s">
        <v>75</v>
      </c>
      <c r="R19" s="21" t="str">
        <f>PROPER(TRIM(CLEAN(Table1[[#This Row],[Product Name]])))</f>
        <v>Laptop Bag</v>
      </c>
    </row>
    <row r="20" spans="1:18" x14ac:dyDescent="0.25">
      <c r="A20" s="10" t="s">
        <v>76</v>
      </c>
      <c r="B20" s="10" t="s">
        <v>67</v>
      </c>
      <c r="C20" s="10" t="s">
        <v>77</v>
      </c>
      <c r="D20" s="10">
        <v>160</v>
      </c>
      <c r="E20" s="10">
        <v>15</v>
      </c>
      <c r="F20" s="10" t="s">
        <v>46</v>
      </c>
      <c r="H20" s="13">
        <f>IF(ISBLANK(D20),AVERAGE($D$4:$D$37),D20)</f>
        <v>160</v>
      </c>
      <c r="I20" t="str">
        <f>IF(ISBLANK(F20),"UnKnown",F20)</f>
        <v>Electroni</v>
      </c>
      <c r="L20" s="18" t="s">
        <v>76</v>
      </c>
      <c r="M20" s="16" t="s">
        <v>67</v>
      </c>
      <c r="N20" s="10" t="s">
        <v>77</v>
      </c>
      <c r="O20" s="14">
        <v>160</v>
      </c>
      <c r="P20" s="10">
        <v>15</v>
      </c>
      <c r="Q20" s="20" t="s">
        <v>28</v>
      </c>
      <c r="R20" s="20" t="str">
        <f>PROPER(TRIM(CLEAN(Table1[[#This Row],[Product Name]])))</f>
        <v>Smartwatch</v>
      </c>
    </row>
    <row r="21" spans="1:18" x14ac:dyDescent="0.25">
      <c r="A21" s="11" t="s">
        <v>78</v>
      </c>
      <c r="B21" s="11" t="s">
        <v>26</v>
      </c>
      <c r="C21" s="11" t="s">
        <v>79</v>
      </c>
      <c r="D21" s="11">
        <v>980</v>
      </c>
      <c r="E21" s="11">
        <v>10</v>
      </c>
      <c r="F21" s="11" t="s">
        <v>28</v>
      </c>
      <c r="H21" s="13">
        <f>IF(ISBLANK(D21),AVERAGE($D$4:$D$37),D21)</f>
        <v>980</v>
      </c>
      <c r="I21" t="str">
        <f>IF(ISBLANK(F21),"UnKnown",F21)</f>
        <v>Electronics</v>
      </c>
      <c r="L21" s="19" t="s">
        <v>78</v>
      </c>
      <c r="M21" s="17" t="s">
        <v>26</v>
      </c>
      <c r="N21" s="11" t="s">
        <v>79</v>
      </c>
      <c r="O21" s="15">
        <v>980</v>
      </c>
      <c r="P21" s="11">
        <v>10</v>
      </c>
      <c r="Q21" s="21" t="s">
        <v>28</v>
      </c>
      <c r="R21" s="21" t="str">
        <f>PROPER(TRIM(CLEAN(Table1[[#This Row],[Product Name]])))</f>
        <v>Laptop</v>
      </c>
    </row>
    <row r="22" spans="1:18" x14ac:dyDescent="0.25">
      <c r="A22" s="10" t="s">
        <v>80</v>
      </c>
      <c r="B22" s="10" t="s">
        <v>81</v>
      </c>
      <c r="C22" s="10" t="s">
        <v>82</v>
      </c>
      <c r="D22" s="10">
        <v>150</v>
      </c>
      <c r="E22" s="10">
        <v>15</v>
      </c>
      <c r="F22" s="10" t="s">
        <v>32</v>
      </c>
      <c r="H22" s="13">
        <f>IF(ISBLANK(D22),AVERAGE($D$4:$D$37),D22)</f>
        <v>150</v>
      </c>
      <c r="I22" t="str">
        <f>IF(ISBLANK(F22),"UnKnown",F22)</f>
        <v>Fashion</v>
      </c>
      <c r="L22" s="18" t="s">
        <v>80</v>
      </c>
      <c r="M22" s="16" t="s">
        <v>81</v>
      </c>
      <c r="N22" s="10" t="s">
        <v>82</v>
      </c>
      <c r="O22" s="14">
        <v>150</v>
      </c>
      <c r="P22" s="10">
        <v>15</v>
      </c>
      <c r="Q22" s="20" t="s">
        <v>32</v>
      </c>
      <c r="R22" s="20" t="str">
        <f>PROPER(TRIM(CLEAN(Table1[[#This Row],[Product Name]])))</f>
        <v>Sunglasses</v>
      </c>
    </row>
    <row r="23" spans="1:18" x14ac:dyDescent="0.25">
      <c r="A23" s="11" t="s">
        <v>83</v>
      </c>
      <c r="B23" s="11" t="s">
        <v>84</v>
      </c>
      <c r="C23" s="11" t="s">
        <v>85</v>
      </c>
      <c r="D23" s="11"/>
      <c r="E23" s="11">
        <v>10</v>
      </c>
      <c r="F23" s="11" t="s">
        <v>59</v>
      </c>
      <c r="H23" s="13">
        <f>IF(ISBLANK(D23),AVERAGE($D$4:$D$37),D23)</f>
        <v>309.35483870967744</v>
      </c>
      <c r="I23" t="str">
        <f>IF(ISBLANK(F23),"UnKnown",F23)</f>
        <v>Outdoor</v>
      </c>
      <c r="L23" s="19" t="s">
        <v>83</v>
      </c>
      <c r="M23" s="17" t="s">
        <v>84</v>
      </c>
      <c r="N23" s="11" t="s">
        <v>85</v>
      </c>
      <c r="O23" s="15">
        <v>309.35483870967744</v>
      </c>
      <c r="P23" s="11">
        <v>10</v>
      </c>
      <c r="Q23" s="21" t="s">
        <v>59</v>
      </c>
      <c r="R23" s="21" t="str">
        <f>PROPER(TRIM(CLEAN(Table1[[#This Row],[Product Name]])))</f>
        <v>Camping Tent</v>
      </c>
    </row>
    <row r="24" spans="1:18" x14ac:dyDescent="0.25">
      <c r="A24" s="10" t="s">
        <v>86</v>
      </c>
      <c r="B24" s="10" t="s">
        <v>87</v>
      </c>
      <c r="C24" s="10" t="s">
        <v>88</v>
      </c>
      <c r="D24" s="10">
        <v>700</v>
      </c>
      <c r="E24" s="10">
        <v>50</v>
      </c>
      <c r="F24" s="10" t="s">
        <v>28</v>
      </c>
      <c r="H24" s="13">
        <f>IF(ISBLANK(D24),AVERAGE($D$4:$D$37),D24)</f>
        <v>700</v>
      </c>
      <c r="I24" t="str">
        <f>IF(ISBLANK(F24),"UnKnown",F24)</f>
        <v>Electronics</v>
      </c>
      <c r="L24" s="18" t="s">
        <v>86</v>
      </c>
      <c r="M24" s="16" t="s">
        <v>87</v>
      </c>
      <c r="N24" s="10" t="s">
        <v>88</v>
      </c>
      <c r="O24" s="14">
        <v>700</v>
      </c>
      <c r="P24" s="10">
        <v>50</v>
      </c>
      <c r="Q24" s="20" t="s">
        <v>28</v>
      </c>
      <c r="R24" s="20" t="str">
        <f>PROPER(TRIM(CLEAN(Table1[[#This Row],[Product Name]])))</f>
        <v>Camera</v>
      </c>
    </row>
    <row r="25" spans="1:18" x14ac:dyDescent="0.25">
      <c r="A25" s="11" t="s">
        <v>89</v>
      </c>
      <c r="B25" s="11" t="s">
        <v>90</v>
      </c>
      <c r="C25" s="11" t="s">
        <v>91</v>
      </c>
      <c r="D25" s="11">
        <v>80</v>
      </c>
      <c r="E25" s="11">
        <v>20</v>
      </c>
      <c r="F25" s="11" t="s">
        <v>36</v>
      </c>
      <c r="H25" s="13">
        <f>IF(ISBLANK(D25),AVERAGE($D$4:$D$37),D25)</f>
        <v>80</v>
      </c>
      <c r="I25" t="str">
        <f>IF(ISBLANK(F25),"UnKnown",F25)</f>
        <v>Kitchen</v>
      </c>
      <c r="L25" s="19" t="s">
        <v>89</v>
      </c>
      <c r="M25" s="17" t="s">
        <v>90</v>
      </c>
      <c r="N25" s="11" t="s">
        <v>91</v>
      </c>
      <c r="O25" s="15">
        <v>80</v>
      </c>
      <c r="P25" s="11">
        <v>20</v>
      </c>
      <c r="Q25" s="21" t="s">
        <v>36</v>
      </c>
      <c r="R25" s="21" t="str">
        <f>PROPER(TRIM(CLEAN(Table1[[#This Row],[Product Name]])))</f>
        <v>Microwave</v>
      </c>
    </row>
    <row r="26" spans="1:18" x14ac:dyDescent="0.25">
      <c r="A26" s="10" t="s">
        <v>92</v>
      </c>
      <c r="B26" s="10" t="s">
        <v>93</v>
      </c>
      <c r="C26" s="10" t="s">
        <v>94</v>
      </c>
      <c r="D26" s="10">
        <v>150</v>
      </c>
      <c r="E26" s="10">
        <v>30</v>
      </c>
      <c r="F26" s="10"/>
      <c r="H26" s="13">
        <f>IF(ISBLANK(D26),AVERAGE($D$4:$D$37),D26)</f>
        <v>150</v>
      </c>
      <c r="I26" t="str">
        <f>IF(ISBLANK(F26),"UnKnown",F26)</f>
        <v>UnKnown</v>
      </c>
      <c r="L26" s="18" t="s">
        <v>92</v>
      </c>
      <c r="M26" s="16" t="s">
        <v>93</v>
      </c>
      <c r="N26" s="10" t="s">
        <v>94</v>
      </c>
      <c r="O26" s="14">
        <v>150</v>
      </c>
      <c r="P26" s="10">
        <v>30</v>
      </c>
      <c r="Q26" s="20" t="s">
        <v>119</v>
      </c>
      <c r="R26" s="20" t="str">
        <f>PROPER(TRIM(CLEAN(Table1[[#This Row],[Product Name]])))</f>
        <v>Fitness Tracker</v>
      </c>
    </row>
    <row r="27" spans="1:18" x14ac:dyDescent="0.25">
      <c r="A27" s="11" t="s">
        <v>72</v>
      </c>
      <c r="B27" s="11" t="s">
        <v>73</v>
      </c>
      <c r="C27" s="11" t="s">
        <v>74</v>
      </c>
      <c r="D27" s="11">
        <v>50</v>
      </c>
      <c r="E27" s="11">
        <v>35</v>
      </c>
      <c r="F27" s="11" t="s">
        <v>75</v>
      </c>
      <c r="H27" s="13">
        <f>IF(ISBLANK(D27),AVERAGE($D$4:$D$37),D27)</f>
        <v>50</v>
      </c>
      <c r="I27" t="str">
        <f>IF(ISBLANK(F27),"UnKnown",F27)</f>
        <v>Accessories</v>
      </c>
      <c r="L27" s="18" t="s">
        <v>95</v>
      </c>
      <c r="M27" s="16" t="s">
        <v>96</v>
      </c>
      <c r="N27" s="10" t="s">
        <v>97</v>
      </c>
      <c r="O27" s="14">
        <v>800</v>
      </c>
      <c r="P27" s="10">
        <v>45</v>
      </c>
      <c r="Q27" s="20" t="s">
        <v>28</v>
      </c>
      <c r="R27" s="20" t="str">
        <f>PROPER(TRIM(CLEAN(Table1[[#This Row],[Product Name]])))</f>
        <v>Smartphone</v>
      </c>
    </row>
    <row r="28" spans="1:18" x14ac:dyDescent="0.25">
      <c r="A28" s="10" t="s">
        <v>95</v>
      </c>
      <c r="B28" s="10" t="s">
        <v>96</v>
      </c>
      <c r="C28" s="10" t="s">
        <v>97</v>
      </c>
      <c r="D28" s="10">
        <v>800</v>
      </c>
      <c r="E28" s="10">
        <v>45</v>
      </c>
      <c r="F28" s="10" t="s">
        <v>28</v>
      </c>
      <c r="H28" s="13">
        <f>IF(ISBLANK(D28),AVERAGE($D$4:$D$37),D28)</f>
        <v>800</v>
      </c>
      <c r="I28" t="str">
        <f>IF(ISBLANK(F28),"UnKnown",F28)</f>
        <v>Electronics</v>
      </c>
      <c r="L28" s="19" t="s">
        <v>98</v>
      </c>
      <c r="M28" s="17" t="s">
        <v>81</v>
      </c>
      <c r="N28" s="11" t="s">
        <v>99</v>
      </c>
      <c r="O28" s="15">
        <v>309.35483870967744</v>
      </c>
      <c r="P28" s="11">
        <v>25</v>
      </c>
      <c r="Q28" s="21" t="s">
        <v>32</v>
      </c>
      <c r="R28" s="21" t="str">
        <f>PROPER(TRIM(CLEAN(Table1[[#This Row],[Product Name]])))</f>
        <v>Sunglasses</v>
      </c>
    </row>
    <row r="29" spans="1:18" x14ac:dyDescent="0.25">
      <c r="A29" s="11" t="s">
        <v>98</v>
      </c>
      <c r="B29" s="11" t="s">
        <v>81</v>
      </c>
      <c r="C29" s="11" t="s">
        <v>99</v>
      </c>
      <c r="D29" s="11"/>
      <c r="E29" s="11">
        <v>25</v>
      </c>
      <c r="F29" s="11" t="s">
        <v>32</v>
      </c>
      <c r="H29" s="13">
        <f>IF(ISBLANK(D29),AVERAGE($D$4:$D$37),D29)</f>
        <v>309.35483870967744</v>
      </c>
      <c r="I29" t="str">
        <f>IF(ISBLANK(F29),"UnKnown",F29)</f>
        <v>Fashion</v>
      </c>
      <c r="L29" s="18" t="s">
        <v>100</v>
      </c>
      <c r="M29" s="16" t="s">
        <v>51</v>
      </c>
      <c r="N29" s="10" t="s">
        <v>101</v>
      </c>
      <c r="O29" s="14">
        <v>400</v>
      </c>
      <c r="P29" s="10">
        <v>40</v>
      </c>
      <c r="Q29" s="20" t="s">
        <v>36</v>
      </c>
      <c r="R29" s="20" t="str">
        <f>PROPER(TRIM(CLEAN(Table1[[#This Row],[Product Name]])))</f>
        <v>Blender</v>
      </c>
    </row>
    <row r="30" spans="1:18" x14ac:dyDescent="0.25">
      <c r="A30" s="10" t="s">
        <v>100</v>
      </c>
      <c r="B30" s="10" t="s">
        <v>51</v>
      </c>
      <c r="C30" s="10" t="s">
        <v>101</v>
      </c>
      <c r="D30" s="10">
        <v>400</v>
      </c>
      <c r="E30" s="10">
        <v>40</v>
      </c>
      <c r="F30" s="10" t="s">
        <v>36</v>
      </c>
      <c r="H30" s="13">
        <f>IF(ISBLANK(D30),AVERAGE($D$4:$D$37),D30)</f>
        <v>400</v>
      </c>
      <c r="I30" t="str">
        <f>IF(ISBLANK(F30),"UnKnown",F30)</f>
        <v>Kitchen</v>
      </c>
      <c r="L30" s="18" t="s">
        <v>102</v>
      </c>
      <c r="M30" s="16" t="s">
        <v>103</v>
      </c>
      <c r="N30" s="10" t="s">
        <v>104</v>
      </c>
      <c r="O30" s="14">
        <v>60</v>
      </c>
      <c r="P30" s="10">
        <v>30</v>
      </c>
      <c r="Q30" s="20" t="s">
        <v>32</v>
      </c>
      <c r="R30" s="20" t="str">
        <f>PROPER(TRIM(CLEAN(Table1[[#This Row],[Product Name]])))</f>
        <v>Dress</v>
      </c>
    </row>
    <row r="31" spans="1:18" x14ac:dyDescent="0.25">
      <c r="A31" s="11" t="s">
        <v>69</v>
      </c>
      <c r="B31" s="11" t="s">
        <v>70</v>
      </c>
      <c r="C31" s="11" t="s">
        <v>71</v>
      </c>
      <c r="D31" s="11">
        <v>250</v>
      </c>
      <c r="E31" s="11">
        <v>20</v>
      </c>
      <c r="F31" s="11" t="s">
        <v>28</v>
      </c>
      <c r="H31" s="13">
        <f>IF(ISBLANK(D31),AVERAGE($D$4:$D$37),D31)</f>
        <v>250</v>
      </c>
      <c r="I31" t="str">
        <f>IF(ISBLANK(F31),"UnKnown",F31)</f>
        <v>Electronics</v>
      </c>
      <c r="L31" s="19" t="s">
        <v>105</v>
      </c>
      <c r="M31" s="17" t="s">
        <v>106</v>
      </c>
      <c r="N31" s="11" t="s">
        <v>107</v>
      </c>
      <c r="O31" s="15">
        <v>40</v>
      </c>
      <c r="P31" s="11">
        <v>10</v>
      </c>
      <c r="Q31" s="21" t="s">
        <v>36</v>
      </c>
      <c r="R31" s="21" t="str">
        <f>PROPER(TRIM(CLEAN(Table1[[#This Row],[Product Name]])))</f>
        <v>Toaster</v>
      </c>
    </row>
    <row r="32" spans="1:18" x14ac:dyDescent="0.25">
      <c r="A32" s="10" t="s">
        <v>102</v>
      </c>
      <c r="B32" s="10" t="s">
        <v>103</v>
      </c>
      <c r="C32" s="10" t="s">
        <v>104</v>
      </c>
      <c r="D32" s="10">
        <v>60</v>
      </c>
      <c r="E32" s="10">
        <v>30</v>
      </c>
      <c r="F32" s="10" t="s">
        <v>32</v>
      </c>
      <c r="H32" s="13">
        <f>IF(ISBLANK(D32),AVERAGE($D$4:$D$37),D32)</f>
        <v>60</v>
      </c>
      <c r="I32" t="str">
        <f>IF(ISBLANK(F32),"UnKnown",F32)</f>
        <v>Fashion</v>
      </c>
      <c r="L32" s="18" t="s">
        <v>108</v>
      </c>
      <c r="M32" s="16" t="s">
        <v>93</v>
      </c>
      <c r="N32" s="10" t="s">
        <v>109</v>
      </c>
      <c r="O32" s="14">
        <v>130</v>
      </c>
      <c r="P32" s="10">
        <v>5</v>
      </c>
      <c r="Q32" s="20" t="s">
        <v>28</v>
      </c>
      <c r="R32" s="20" t="str">
        <f>PROPER(TRIM(CLEAN(Table1[[#This Row],[Product Name]])))</f>
        <v>Fitness Tracker</v>
      </c>
    </row>
    <row r="33" spans="1:18" x14ac:dyDescent="0.25">
      <c r="A33" s="11" t="s">
        <v>105</v>
      </c>
      <c r="B33" s="11" t="s">
        <v>106</v>
      </c>
      <c r="C33" s="11" t="s">
        <v>107</v>
      </c>
      <c r="D33" s="11">
        <v>40</v>
      </c>
      <c r="E33" s="11">
        <v>10</v>
      </c>
      <c r="F33" s="11" t="s">
        <v>36</v>
      </c>
      <c r="H33" s="13">
        <f>IF(ISBLANK(D33),AVERAGE($D$4:$D$37),D33)</f>
        <v>40</v>
      </c>
      <c r="I33" t="str">
        <f>IF(ISBLANK(F33),"UnKnown",F33)</f>
        <v>Kitchen</v>
      </c>
      <c r="L33" s="19" t="s">
        <v>110</v>
      </c>
      <c r="M33" s="17" t="s">
        <v>111</v>
      </c>
      <c r="N33" s="11" t="s">
        <v>112</v>
      </c>
      <c r="O33" s="15">
        <v>50</v>
      </c>
      <c r="P33" s="11">
        <v>50</v>
      </c>
      <c r="Q33" s="21" t="s">
        <v>32</v>
      </c>
      <c r="R33" s="21" t="str">
        <f>PROPER(TRIM(CLEAN(Table1[[#This Row],[Product Name]])))</f>
        <v>Jeans</v>
      </c>
    </row>
    <row r="34" spans="1:18" x14ac:dyDescent="0.25">
      <c r="A34" s="10" t="s">
        <v>108</v>
      </c>
      <c r="B34" s="10" t="s">
        <v>93</v>
      </c>
      <c r="C34" s="10" t="s">
        <v>109</v>
      </c>
      <c r="D34" s="10">
        <v>130</v>
      </c>
      <c r="E34" s="10">
        <v>5</v>
      </c>
      <c r="F34" s="10" t="s">
        <v>28</v>
      </c>
      <c r="H34" s="13">
        <f>IF(ISBLANK(D34),AVERAGE($D$4:$D$37),D34)</f>
        <v>130</v>
      </c>
      <c r="I34" t="str">
        <f>IF(ISBLANK(F34),"UnKnown",F34)</f>
        <v>Electronics</v>
      </c>
      <c r="L34" s="25" t="s">
        <v>113</v>
      </c>
      <c r="M34" s="26" t="s">
        <v>114</v>
      </c>
      <c r="N34" s="27" t="s">
        <v>115</v>
      </c>
      <c r="O34" s="28">
        <v>100</v>
      </c>
      <c r="P34" s="27">
        <v>20</v>
      </c>
      <c r="Q34" s="29" t="s">
        <v>75</v>
      </c>
      <c r="R34" s="29" t="str">
        <f>PROPER(TRIM(CLEAN(Table1[[#This Row],[Product Name]])))</f>
        <v>Watch</v>
      </c>
    </row>
    <row r="35" spans="1:18" x14ac:dyDescent="0.25">
      <c r="A35" s="11" t="s">
        <v>110</v>
      </c>
      <c r="B35" s="11" t="s">
        <v>111</v>
      </c>
      <c r="C35" s="11" t="s">
        <v>112</v>
      </c>
      <c r="D35" s="11">
        <v>50</v>
      </c>
      <c r="E35" s="11">
        <v>50</v>
      </c>
      <c r="F35" s="11" t="s">
        <v>32</v>
      </c>
      <c r="H35" s="13">
        <f>IF(ISBLANK(D35),AVERAGE($D$4:$D$37),D35)</f>
        <v>50</v>
      </c>
      <c r="I35" t="str">
        <f>IF(ISBLANK(F35),"UnKnown",F35)</f>
        <v>Fashion</v>
      </c>
    </row>
    <row r="36" spans="1:18" x14ac:dyDescent="0.25">
      <c r="A36" s="10" t="s">
        <v>60</v>
      </c>
      <c r="B36" s="10" t="s">
        <v>61</v>
      </c>
      <c r="C36" s="10" t="s">
        <v>62</v>
      </c>
      <c r="D36" s="10">
        <v>950</v>
      </c>
      <c r="E36" s="10">
        <v>25</v>
      </c>
      <c r="F36" s="10" t="s">
        <v>28</v>
      </c>
      <c r="H36" s="13">
        <f>IF(ISBLANK(D36),AVERAGE($D$4:$D$37),D36)</f>
        <v>950</v>
      </c>
      <c r="I36" t="str">
        <f>IF(ISBLANK(F36),"UnKnown",F36)</f>
        <v>Electronics</v>
      </c>
    </row>
    <row r="37" spans="1:18" x14ac:dyDescent="0.25">
      <c r="A37" s="11" t="s">
        <v>113</v>
      </c>
      <c r="B37" s="11" t="s">
        <v>114</v>
      </c>
      <c r="C37" s="11" t="s">
        <v>115</v>
      </c>
      <c r="D37" s="11">
        <v>100</v>
      </c>
      <c r="E37" s="11">
        <v>20</v>
      </c>
      <c r="F37" s="11" t="s">
        <v>75</v>
      </c>
      <c r="H37" s="13">
        <f>IF(ISBLANK(D37),AVERAGE($D$4:$D$37),D37)</f>
        <v>100</v>
      </c>
      <c r="I37" t="str">
        <f>IF(ISBLANK(F37),"UnKnown",F37)</f>
        <v>Accessories</v>
      </c>
    </row>
  </sheetData>
  <mergeCells count="2">
    <mergeCell ref="A2:F2"/>
    <mergeCell ref="L2:R2"/>
  </mergeCells>
  <conditionalFormatting sqref="K7 H3:H37">
    <cfRule type="cellIs" dxfId="4" priority="6" operator="equal">
      <formula>$K$7</formula>
    </cfRule>
  </conditionalFormatting>
  <conditionalFormatting sqref="I3:I37">
    <cfRule type="containsText" dxfId="3" priority="5" operator="containsText" text="Unknown">
      <formula>NOT(ISERROR(SEARCH("Unknown",I3)))</formula>
    </cfRule>
  </conditionalFormatting>
  <conditionalFormatting sqref="O3:O34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{F4960077-F430-428E-AF3E-4DFDD8EB57EC}</x14:id>
        </ext>
      </extLst>
    </cfRule>
  </conditionalFormatting>
  <conditionalFormatting sqref="Q3:R34">
    <cfRule type="containsText" dxfId="2" priority="3" operator="containsText" text="Electronics">
      <formula>NOT(ISERROR(SEARCH("Electronics",Q3)))</formula>
    </cfRule>
  </conditionalFormatting>
  <conditionalFormatting sqref="A2">
    <cfRule type="cellIs" dxfId="1" priority="2" operator="equal">
      <formula>$K$7</formula>
    </cfRule>
  </conditionalFormatting>
  <conditionalFormatting sqref="L2">
    <cfRule type="cellIs" dxfId="0" priority="1" operator="equal">
      <formula>$K$7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960077-F430-428E-AF3E-4DFDD8EB57E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O3:O34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0DF527-26D5-4409-8086-00F12B10A2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PQ_Res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Mohan Raj Thangavel Sekar</cp:lastModifiedBy>
  <dcterms:modified xsi:type="dcterms:W3CDTF">2025-07-14T17:59:37Z</dcterms:modified>
</cp:coreProperties>
</file>