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3b309c038dcc6b6/Documents/DataAnalytics/"/>
    </mc:Choice>
  </mc:AlternateContent>
  <xr:revisionPtr revIDLastSave="137" documentId="11_AE6035745C5AC9D6C759A76D5D31450AFDAE85B8" xr6:coauthVersionLast="47" xr6:coauthVersionMax="47" xr10:uidLastSave="{B4758D30-A116-4635-8A1F-526695ED6495}"/>
  <bookViews>
    <workbookView xWindow="-108" yWindow="-108" windowWidth="23256" windowHeight="12456" activeTab="2" xr2:uid="{00000000-000D-0000-FFFF-FFFF00000000}"/>
  </bookViews>
  <sheets>
    <sheet name="Instructions" sheetId="1" r:id="rId1"/>
    <sheet name="Sheet1" sheetId="3" r:id="rId2"/>
    <sheet name="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5" i="2" l="1"/>
  <c r="H25" i="2"/>
  <c r="I25" i="2"/>
  <c r="J25" i="2"/>
  <c r="G29" i="2"/>
  <c r="H29" i="2"/>
  <c r="I29" i="2"/>
  <c r="J29" i="2"/>
  <c r="G34" i="2"/>
  <c r="H34" i="2"/>
  <c r="I34" i="2"/>
  <c r="J34" i="2"/>
  <c r="M11" i="2"/>
  <c r="M9" i="2"/>
  <c r="M7" i="2"/>
  <c r="M5" i="2"/>
  <c r="M3" i="2"/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6" i="2"/>
  <c r="J27" i="2"/>
  <c r="J28" i="2"/>
  <c r="J30" i="2"/>
  <c r="J31" i="2"/>
  <c r="J32" i="2"/>
  <c r="J33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6" i="2"/>
  <c r="I27" i="2"/>
  <c r="I28" i="2"/>
  <c r="I30" i="2"/>
  <c r="I31" i="2"/>
  <c r="I32" i="2"/>
  <c r="I33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6" i="2"/>
  <c r="H27" i="2"/>
  <c r="H28" i="2"/>
  <c r="H30" i="2"/>
  <c r="H31" i="2"/>
  <c r="H32" i="2"/>
  <c r="H33" i="2"/>
  <c r="H35" i="2"/>
  <c r="M15" i="2"/>
  <c r="M13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6" i="2"/>
  <c r="G27" i="2"/>
  <c r="G28" i="2"/>
  <c r="G30" i="2"/>
  <c r="G31" i="2"/>
  <c r="G32" i="2"/>
  <c r="G33" i="2"/>
  <c r="G35" i="2"/>
</calcChain>
</file>

<file path=xl/sharedStrings.xml><?xml version="1.0" encoding="utf-8"?>
<sst xmlns="http://schemas.openxmlformats.org/spreadsheetml/2006/main" count="185" uniqueCount="135">
  <si>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</si>
  <si>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</si>
  <si>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</si>
  <si>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</si>
  <si>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</si>
  <si>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</si>
  <si>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</si>
  <si>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</si>
  <si>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</si>
  <si>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</si>
  <si>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</si>
  <si>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</si>
  <si>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</si>
  <si>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</si>
  <si>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</si>
  <si>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</si>
  <si>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</si>
  <si>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</si>
  <si>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</si>
  <si>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</si>
  <si>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</si>
  <si>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</si>
  <si>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</si>
  <si>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</si>
  <si>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</si>
  <si>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</si>
  <si>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</si>
  <si>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</si>
  <si>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</si>
  <si>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</si>
  <si>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</si>
  <si>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</si>
  <si>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</si>
  <si>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</si>
  <si>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</si>
  <si>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</si>
  <si>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</si>
  <si>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</si>
  <si>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</si>
  <si>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</si>
  <si>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</si>
  <si>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</si>
  <si>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</si>
  <si>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</si>
  <si>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</si>
  <si>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</si>
  <si>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</si>
  <si>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</si>
  <si>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</si>
  <si>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</si>
  <si>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</si>
  <si>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</si>
  <si>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</si>
  <si>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</si>
  <si>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</si>
  <si>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</si>
  <si>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</si>
  <si>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</si>
  <si>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</si>
  <si>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</si>
  <si>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</si>
  <si>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</si>
  <si>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</si>
  <si>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</si>
  <si>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</si>
  <si>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</si>
  <si>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</si>
  <si>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</si>
  <si>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</si>
  <si>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</si>
  <si>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</si>
  <si>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</si>
  <si>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</si>
  <si>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</si>
  <si>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</si>
  <si>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</si>
  <si>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</si>
  <si>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</si>
  <si>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</si>
  <si>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</si>
  <si>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</si>
  <si>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</si>
  <si>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</si>
  <si>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</si>
  <si>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</si>
  <si>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</si>
  <si>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</si>
  <si>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</si>
  <si>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</si>
  <si>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</si>
  <si>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</si>
  <si>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</si>
  <si>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</si>
  <si>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</si>
  <si>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</si>
  <si>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</si>
  <si>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</si>
  <si>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</si>
  <si>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</si>
  <si>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</si>
  <si>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</si>
  <si>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</si>
  <si>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</si>
  <si>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</si>
  <si>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</si>
  <si>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</si>
  <si>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</si>
  <si>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</si>
  <si>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</si>
  <si>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</si>
  <si>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</si>
  <si>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 of Products</t>
  </si>
  <si>
    <t>Average Price</t>
  </si>
  <si>
    <t>Min Price</t>
  </si>
  <si>
    <t>Max Price</t>
  </si>
  <si>
    <t>Price Range</t>
  </si>
  <si>
    <t>Total Price Electronics</t>
  </si>
  <si>
    <t>No of Products less than $100</t>
  </si>
  <si>
    <t>Day</t>
  </si>
  <si>
    <t>Country Code</t>
  </si>
  <si>
    <t>Month</t>
  </si>
  <si>
    <t>Results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</si>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</sst>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7" fillId="4" borderId="1" xfId="0" applyFont="1" applyFill="1" applyBorder="1"/>
    <xf numFmtId="0" fontId="7" fillId="6" borderId="1" xfId="0" applyFont="1" applyFill="1" applyBorder="1"/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9" fillId="0" borderId="5" xfId="0" applyFont="1" applyFill="1" applyBorder="1" applyAlignment="1">
      <alignment horizontal="centerContinuous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8D815-9716-420D-981B-538D38709A2F}" name="Table1" displayName="Table1" ref="A1:J35" totalsRowShown="0" headerRowDxfId="11" dataDxfId="10">
  <autoFilter ref="A1:J35" xr:uid="{5408D815-9716-420D-981B-538D38709A2F}"/>
  <tableColumns count="10">
    <tableColumn id="1" xr3:uid="{0FCA7F9B-846F-4040-BDFE-19AE86833A1B}" name="Product ID" dataDxfId="9"/>
    <tableColumn id="2" xr3:uid="{A686F3C6-C5C0-4047-B143-E1F7DEF4774E}" name="Product Name" dataDxfId="8"/>
    <tableColumn id="3" xr3:uid="{43932EB7-E82A-4F17-9916-85DAD3EDDBA4}" name="Brand Name" dataDxfId="7"/>
    <tableColumn id="4" xr3:uid="{951F22B1-88FD-47A6-AF77-EECC8CFADFF7}" name="Price ($)" dataDxfId="6"/>
    <tableColumn id="5" xr3:uid="{913BB1BB-B6B1-4B78-B41C-B75DC4E91D75}" name="Quantity" dataDxfId="5"/>
    <tableColumn id="6" xr3:uid="{2B73396F-1DF6-4268-BFFB-D41DD16B1787}" name="Category" dataDxfId="4"/>
    <tableColumn id="7" xr3:uid="{061C3B36-F992-43D0-B03B-96AFFB2FAECC}" name="Price Range" dataDxfId="3">
      <calculatedColumnFormula>IF(Table1[[#This Row],[Price ($)]]&gt;=500,"HIGH PRICE", "Standard Price")</calculatedColumnFormula>
    </tableColumn>
    <tableColumn id="8" xr3:uid="{2C1EBCA2-64E0-487C-9526-09FB54D3E2B5}" name="Day" dataDxfId="2">
      <calculatedColumnFormula>LEFT(Table1[[#This Row],[Product ID]],2)</calculatedColumnFormula>
    </tableColumn>
    <tableColumn id="9" xr3:uid="{4CEC5201-379E-467D-BF25-BEFCB8312AA4}" name="Country Code" dataDxfId="1">
      <calculatedColumnFormula>RIGHT(Table1[[#This Row],[Product ID]],2)</calculatedColumnFormula>
    </tableColumn>
    <tableColumn id="10" xr3:uid="{9C338283-CA5E-4690-AA4A-73702770DCDE}" name="Month" dataDxfId="0">
      <calculatedColumnFormula>MID(Table1[[#This Row],[Product ID]],4,3)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6761-29F9-42D9-AE82-416081159D0E}">
  <dimension ref="A1:B15"/>
  <sheetViews>
    <sheetView workbookViewId="0">
      <selection activeCell="D15" sqref="D15"/>
    </sheetView>
  </sheetViews>
  <sheetFormatPr defaultRowHeight="13.2" x14ac:dyDescent="0.25"/>
  <cols>
    <col min="1" max="1" width="16.44140625" bestFit="1" customWidth="1"/>
    <col min="2" max="2" width="12" bestFit="1" customWidth="1"/>
  </cols>
  <sheetData>
    <row r="1" spans="1:2" x14ac:dyDescent="0.25">
      <c r="A1" s="15" t="s">
        <v>20</v>
      </c>
      <c r="B1" s="15"/>
    </row>
    <row r="2" spans="1:2" x14ac:dyDescent="0.25">
      <c r="A2" s="13"/>
      <c r="B2" s="13"/>
    </row>
    <row r="3" spans="1:2" x14ac:dyDescent="0.25">
      <c r="A3" s="13" t="s">
        <v>122</v>
      </c>
      <c r="B3" s="13">
        <v>297.05882352941177</v>
      </c>
    </row>
    <row r="4" spans="1:2" x14ac:dyDescent="0.25">
      <c r="A4" s="13" t="s">
        <v>123</v>
      </c>
      <c r="B4" s="13">
        <v>56.194736230306376</v>
      </c>
    </row>
    <row r="5" spans="1:2" x14ac:dyDescent="0.25">
      <c r="A5" s="13" t="s">
        <v>124</v>
      </c>
      <c r="B5" s="13">
        <v>140</v>
      </c>
    </row>
    <row r="6" spans="1:2" x14ac:dyDescent="0.25">
      <c r="A6" s="13" t="s">
        <v>125</v>
      </c>
      <c r="B6" s="13">
        <v>130</v>
      </c>
    </row>
    <row r="7" spans="1:2" x14ac:dyDescent="0.25">
      <c r="A7" s="13" t="s">
        <v>126</v>
      </c>
      <c r="B7" s="13">
        <v>327.66880370243683</v>
      </c>
    </row>
    <row r="8" spans="1:2" x14ac:dyDescent="0.25">
      <c r="A8" s="13" t="s">
        <v>127</v>
      </c>
      <c r="B8" s="13">
        <v>107366.84491978609</v>
      </c>
    </row>
    <row r="9" spans="1:2" x14ac:dyDescent="0.25">
      <c r="A9" s="13" t="s">
        <v>128</v>
      </c>
      <c r="B9" s="13">
        <v>0.14909701826085353</v>
      </c>
    </row>
    <row r="10" spans="1:2" x14ac:dyDescent="0.25">
      <c r="A10" s="13" t="s">
        <v>129</v>
      </c>
      <c r="B10" s="13">
        <v>1.3299324770226977</v>
      </c>
    </row>
    <row r="11" spans="1:2" x14ac:dyDescent="0.25">
      <c r="A11" s="13" t="s">
        <v>130</v>
      </c>
      <c r="B11" s="13">
        <v>970</v>
      </c>
    </row>
    <row r="12" spans="1:2" x14ac:dyDescent="0.25">
      <c r="A12" s="13" t="s">
        <v>131</v>
      </c>
      <c r="B12" s="13">
        <v>30</v>
      </c>
    </row>
    <row r="13" spans="1:2" x14ac:dyDescent="0.25">
      <c r="A13" s="13" t="s">
        <v>132</v>
      </c>
      <c r="B13" s="13">
        <v>1000</v>
      </c>
    </row>
    <row r="14" spans="1:2" x14ac:dyDescent="0.25">
      <c r="A14" s="13" t="s">
        <v>133</v>
      </c>
      <c r="B14" s="13">
        <v>10100</v>
      </c>
    </row>
    <row r="15" spans="1:2" ht="13.8" thickBot="1" x14ac:dyDescent="0.3">
      <c r="A15" s="14" t="s">
        <v>134</v>
      </c>
      <c r="B15" s="14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>
      <selection activeCell="L22" sqref="L22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6" bestFit="1" customWidth="1"/>
    <col min="9" max="9" width="17.77734375" bestFit="1" customWidth="1"/>
    <col min="11" max="11" width="11.6640625" customWidth="1"/>
    <col min="12" max="12" width="27.6640625" bestFit="1" customWidth="1"/>
  </cols>
  <sheetData>
    <row r="1" spans="1:13" ht="15.75" customHeight="1" thickBo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3" ht="15.75" customHeight="1" thickBot="1" x14ac:dyDescent="0.3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IF(Table1[[#This Row],[Price ($)]]&gt;=500,"HIGH PRICE", "Standard Price")</f>
        <v>HIGH PRICE</v>
      </c>
      <c r="H2" s="7" t="str">
        <f>LEFT(Table1[[#This Row],[Product ID]],2)</f>
        <v>28</v>
      </c>
      <c r="I2" s="7" t="str">
        <f>RIGHT(Table1[[#This Row],[Product ID]],2)</f>
        <v>US</v>
      </c>
      <c r="J2" s="7" t="str">
        <f>MID(Table1[[#This Row],[Product ID]],4,3)</f>
        <v>JAN</v>
      </c>
      <c r="L2" s="11" t="s">
        <v>121</v>
      </c>
      <c r="M2" s="12"/>
    </row>
    <row r="3" spans="1:13" ht="15.75" customHeight="1" thickBot="1" x14ac:dyDescent="0.3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>IF(Table1[[#This Row],[Price ($)]]&gt;=500,"HIGH PRICE", "Standard Price")</f>
        <v>Standard Price</v>
      </c>
      <c r="H3" s="7" t="str">
        <f>LEFT(Table1[[#This Row],[Product ID]],2)</f>
        <v>15</v>
      </c>
      <c r="I3" s="7" t="str">
        <f>RIGHT(Table1[[#This Row],[Product ID]],2)</f>
        <v>US</v>
      </c>
      <c r="J3" s="7" t="str">
        <f>MID(Table1[[#This Row],[Product ID]],4,3)</f>
        <v>FEB</v>
      </c>
      <c r="L3" s="9" t="s">
        <v>110</v>
      </c>
      <c r="M3" s="10">
        <f>SUM(D2:D35)</f>
        <v>10100</v>
      </c>
    </row>
    <row r="4" spans="1:13" ht="15.75" customHeight="1" thickBot="1" x14ac:dyDescent="0.3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>IF(Table1[[#This Row],[Price ($)]]&gt;=500,"HIGH PRICE", "Standard Price")</f>
        <v>Standard Price</v>
      </c>
      <c r="H4" s="7" t="str">
        <f>LEFT(Table1[[#This Row],[Product ID]],2)</f>
        <v>03</v>
      </c>
      <c r="I4" s="7" t="str">
        <f>RIGHT(Table1[[#This Row],[Product ID]],2)</f>
        <v>US</v>
      </c>
      <c r="J4" s="7" t="str">
        <f>MID(Table1[[#This Row],[Product ID]],4,3)</f>
        <v>MAR</v>
      </c>
      <c r="L4" s="8"/>
      <c r="M4" s="8"/>
    </row>
    <row r="5" spans="1:13" ht="15.75" customHeight="1" thickBot="1" x14ac:dyDescent="0.3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>IF(Table1[[#This Row],[Price ($)]]&gt;=500,"HIGH PRICE", "Standard Price")</f>
        <v>HIGH PRICE</v>
      </c>
      <c r="H5" s="7" t="str">
        <f>LEFT(Table1[[#This Row],[Product ID]],2)</f>
        <v>11</v>
      </c>
      <c r="I5" s="7" t="str">
        <f>RIGHT(Table1[[#This Row],[Product ID]],2)</f>
        <v>US</v>
      </c>
      <c r="J5" s="7" t="str">
        <f>MID(Table1[[#This Row],[Product ID]],4,3)</f>
        <v>APR</v>
      </c>
      <c r="L5" s="9" t="s">
        <v>111</v>
      </c>
      <c r="M5" s="10">
        <f>COUNTA(A2:A35)</f>
        <v>34</v>
      </c>
    </row>
    <row r="6" spans="1:13" ht="15.75" customHeight="1" thickBot="1" x14ac:dyDescent="0.3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>IF(Table1[[#This Row],[Price ($)]]&gt;=500,"HIGH PRICE", "Standard Price")</f>
        <v>Standard Price</v>
      </c>
      <c r="H6" s="7" t="str">
        <f>LEFT(Table1[[#This Row],[Product ID]],2)</f>
        <v>22</v>
      </c>
      <c r="I6" s="7" t="str">
        <f>RIGHT(Table1[[#This Row],[Product ID]],2)</f>
        <v>US</v>
      </c>
      <c r="J6" s="7" t="str">
        <f>MID(Table1[[#This Row],[Product ID]],4,3)</f>
        <v>MAY</v>
      </c>
      <c r="L6" s="8"/>
      <c r="M6" s="8"/>
    </row>
    <row r="7" spans="1:13" ht="15.75" customHeight="1" thickBot="1" x14ac:dyDescent="0.3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>IF(Table1[[#This Row],[Price ($)]]&gt;=500,"HIGH PRICE", "Standard Price")</f>
        <v>Standard Price</v>
      </c>
      <c r="H7" s="7" t="str">
        <f>LEFT(Table1[[#This Row],[Product ID]],2)</f>
        <v>07</v>
      </c>
      <c r="I7" s="7" t="str">
        <f>RIGHT(Table1[[#This Row],[Product ID]],2)</f>
        <v>UK</v>
      </c>
      <c r="J7" s="7" t="str">
        <f>MID(Table1[[#This Row],[Product ID]],4,3)</f>
        <v>JUN</v>
      </c>
      <c r="L7" s="9" t="s">
        <v>112</v>
      </c>
      <c r="M7" s="10">
        <f>AVERAGE(D2:D35)</f>
        <v>297.05882352941177</v>
      </c>
    </row>
    <row r="8" spans="1:13" ht="15.75" customHeight="1" thickBot="1" x14ac:dyDescent="0.3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>IF(Table1[[#This Row],[Price ($)]]&gt;=500,"HIGH PRICE", "Standard Price")</f>
        <v>Standard Price</v>
      </c>
      <c r="H8" s="7" t="str">
        <f>LEFT(Table1[[#This Row],[Product ID]],2)</f>
        <v>19</v>
      </c>
      <c r="I8" s="7" t="str">
        <f>RIGHT(Table1[[#This Row],[Product ID]],2)</f>
        <v>UK</v>
      </c>
      <c r="J8" s="7" t="str">
        <f>MID(Table1[[#This Row],[Product ID]],4,3)</f>
        <v>JUL</v>
      </c>
      <c r="L8" s="8"/>
      <c r="M8" s="8"/>
    </row>
    <row r="9" spans="1:13" ht="15.75" customHeight="1" thickBot="1" x14ac:dyDescent="0.3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>IF(Table1[[#This Row],[Price ($)]]&gt;=500,"HIGH PRICE", "Standard Price")</f>
        <v>Standard Price</v>
      </c>
      <c r="H9" s="7" t="str">
        <f>LEFT(Table1[[#This Row],[Product ID]],2)</f>
        <v>23</v>
      </c>
      <c r="I9" s="7" t="str">
        <f>RIGHT(Table1[[#This Row],[Product ID]],2)</f>
        <v>UK</v>
      </c>
      <c r="J9" s="7" t="str">
        <f>MID(Table1[[#This Row],[Product ID]],4,3)</f>
        <v>AUG</v>
      </c>
      <c r="L9" s="9" t="s">
        <v>113</v>
      </c>
      <c r="M9" s="10">
        <f>MIN(D2:D35)</f>
        <v>30</v>
      </c>
    </row>
    <row r="10" spans="1:13" ht="15.75" customHeight="1" thickBot="1" x14ac:dyDescent="0.3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>IF(Table1[[#This Row],[Price ($)]]&gt;=500,"HIGH PRICE", "Standard Price")</f>
        <v>HIGH PRICE</v>
      </c>
      <c r="H10" s="7" t="str">
        <f>LEFT(Table1[[#This Row],[Product ID]],2)</f>
        <v>05</v>
      </c>
      <c r="I10" s="7" t="str">
        <f>RIGHT(Table1[[#This Row],[Product ID]],2)</f>
        <v>UK</v>
      </c>
      <c r="J10" s="7" t="str">
        <f>MID(Table1[[#This Row],[Product ID]],4,3)</f>
        <v>SEP</v>
      </c>
      <c r="L10" s="8"/>
      <c r="M10" s="8"/>
    </row>
    <row r="11" spans="1:13" ht="15.75" customHeight="1" thickBot="1" x14ac:dyDescent="0.3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>IF(Table1[[#This Row],[Price ($)]]&gt;=500,"HIGH PRICE", "Standard Price")</f>
        <v>Standard Price</v>
      </c>
      <c r="H11" s="7" t="str">
        <f>LEFT(Table1[[#This Row],[Product ID]],2)</f>
        <v>14</v>
      </c>
      <c r="I11" s="7" t="str">
        <f>RIGHT(Table1[[#This Row],[Product ID]],2)</f>
        <v>UK</v>
      </c>
      <c r="J11" s="7" t="str">
        <f>MID(Table1[[#This Row],[Product ID]],4,3)</f>
        <v>OCT</v>
      </c>
      <c r="L11" s="9" t="s">
        <v>114</v>
      </c>
      <c r="M11" s="10">
        <f>MAX(D2:D35)</f>
        <v>1000</v>
      </c>
    </row>
    <row r="12" spans="1:13" ht="15.75" customHeight="1" thickBot="1" x14ac:dyDescent="0.3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>IF(Table1[[#This Row],[Price ($)]]&gt;=500,"HIGH PRICE", "Standard Price")</f>
        <v>HIGH PRICE</v>
      </c>
      <c r="H12" s="7" t="str">
        <f>LEFT(Table1[[#This Row],[Product ID]],2)</f>
        <v>17</v>
      </c>
      <c r="I12" s="7" t="str">
        <f>RIGHT(Table1[[#This Row],[Product ID]],2)</f>
        <v>IN</v>
      </c>
      <c r="J12" s="7" t="str">
        <f>MID(Table1[[#This Row],[Product ID]],4,3)</f>
        <v>JUN</v>
      </c>
      <c r="L12" s="8"/>
      <c r="M12" s="8"/>
    </row>
    <row r="13" spans="1:13" ht="15.75" customHeight="1" thickBot="1" x14ac:dyDescent="0.3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>IF(Table1[[#This Row],[Price ($)]]&gt;=500,"HIGH PRICE", "Standard Price")</f>
        <v>Standard Price</v>
      </c>
      <c r="H13" s="7" t="str">
        <f>LEFT(Table1[[#This Row],[Product ID]],2)</f>
        <v>25</v>
      </c>
      <c r="I13" s="7" t="str">
        <f>RIGHT(Table1[[#This Row],[Product ID]],2)</f>
        <v>AU</v>
      </c>
      <c r="J13" s="7" t="str">
        <f>MID(Table1[[#This Row],[Product ID]],4,3)</f>
        <v>NOV</v>
      </c>
      <c r="L13" s="9" t="s">
        <v>116</v>
      </c>
      <c r="M13" s="10">
        <f>SUMIF(Table1[Category],"Electronics",Table1[Price ($)])</f>
        <v>8050</v>
      </c>
    </row>
    <row r="14" spans="1:13" ht="15.75" customHeight="1" thickBot="1" x14ac:dyDescent="0.3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>IF(Table1[[#This Row],[Price ($)]]&gt;=500,"HIGH PRICE", "Standard Price")</f>
        <v>Standard Price</v>
      </c>
      <c r="H14" s="7" t="str">
        <f>LEFT(Table1[[#This Row],[Product ID]],2)</f>
        <v>08</v>
      </c>
      <c r="I14" s="7" t="str">
        <f>RIGHT(Table1[[#This Row],[Product ID]],2)</f>
        <v>DE</v>
      </c>
      <c r="J14" s="7" t="str">
        <f>MID(Table1[[#This Row],[Product ID]],4,3)</f>
        <v>DEC</v>
      </c>
      <c r="L14" s="8"/>
      <c r="M14" s="8"/>
    </row>
    <row r="15" spans="1:13" ht="15.75" customHeight="1" thickBot="1" x14ac:dyDescent="0.3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>IF(Table1[[#This Row],[Price ($)]]&gt;=500,"HIGH PRICE", "Standard Price")</f>
        <v>Standard Price</v>
      </c>
      <c r="H15" s="7" t="str">
        <f>LEFT(Table1[[#This Row],[Product ID]],2)</f>
        <v>18</v>
      </c>
      <c r="I15" s="7" t="str">
        <f>RIGHT(Table1[[#This Row],[Product ID]],2)</f>
        <v>CA</v>
      </c>
      <c r="J15" s="7" t="str">
        <f>MID(Table1[[#This Row],[Product ID]],4,3)</f>
        <v>FEB</v>
      </c>
      <c r="L15" s="9" t="s">
        <v>117</v>
      </c>
      <c r="M15" s="10">
        <f>COUNTIF(Table1[Price ($)],"&lt;100")</f>
        <v>11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>IF(Table1[[#This Row],[Price ($)]]&gt;=500,"HIGH PRICE", "Standard Price")</f>
        <v>Standard Price</v>
      </c>
      <c r="H16" s="7" t="str">
        <f>LEFT(Table1[[#This Row],[Product ID]],2)</f>
        <v>16</v>
      </c>
      <c r="I16" s="7" t="str">
        <f>RIGHT(Table1[[#This Row],[Product ID]],2)</f>
        <v>ES</v>
      </c>
      <c r="J16" s="7" t="str">
        <f>MID(Table1[[#This Row],[Product ID]],4,3)</f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>IF(Table1[[#This Row],[Price ($)]]&gt;=500,"HIGH PRICE", "Standard Price")</f>
        <v>Standard Price</v>
      </c>
      <c r="H17" s="7" t="str">
        <f>LEFT(Table1[[#This Row],[Product ID]],2)</f>
        <v>21</v>
      </c>
      <c r="I17" s="7" t="str">
        <f>RIGHT(Table1[[#This Row],[Product ID]],2)</f>
        <v>CA</v>
      </c>
      <c r="J17" s="7" t="str">
        <f>MID(Table1[[#This Row],[Product ID]],4,3)</f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>IF(Table1[[#This Row],[Price ($)]]&gt;=500,"HIGH PRICE", "Standard Price")</f>
        <v>Standard Price</v>
      </c>
      <c r="H18" s="7" t="str">
        <f>LEFT(Table1[[#This Row],[Product ID]],2)</f>
        <v>20</v>
      </c>
      <c r="I18" s="7" t="str">
        <f>RIGHT(Table1[[#This Row],[Product ID]],2)</f>
        <v>CN</v>
      </c>
      <c r="J18" s="7" t="str">
        <f>MID(Table1[[#This Row],[Product ID]],4,3)</f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>IF(Table1[[#This Row],[Price ($)]]&gt;=500,"HIGH PRICE", "Standard Price")</f>
        <v>HIGH PRICE</v>
      </c>
      <c r="H19" s="7" t="str">
        <f>LEFT(Table1[[#This Row],[Product ID]],2)</f>
        <v>27</v>
      </c>
      <c r="I19" s="7" t="str">
        <f>RIGHT(Table1[[#This Row],[Product ID]],2)</f>
        <v>IT</v>
      </c>
      <c r="J19" s="7" t="str">
        <f>MID(Table1[[#This Row],[Product ID]],4,3)</f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>IF(Table1[[#This Row],[Price ($)]]&gt;=500,"HIGH PRICE", "Standard Price")</f>
        <v>Standard Price</v>
      </c>
      <c r="H20" s="7" t="str">
        <f>LEFT(Table1[[#This Row],[Product ID]],2)</f>
        <v>01</v>
      </c>
      <c r="I20" s="7" t="str">
        <f>RIGHT(Table1[[#This Row],[Product ID]],2)</f>
        <v>UK</v>
      </c>
      <c r="J20" s="7" t="str">
        <f>MID(Table1[[#This Row],[Product ID]],4,3)</f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>IF(Table1[[#This Row],[Price ($)]]&gt;=500,"HIGH PRICE", "Standard Price")</f>
        <v>Standard Price</v>
      </c>
      <c r="H21" s="7" t="str">
        <f>LEFT(Table1[[#This Row],[Product ID]],2)</f>
        <v>14</v>
      </c>
      <c r="I21" s="7" t="str">
        <f>RIGHT(Table1[[#This Row],[Product ID]],2)</f>
        <v>US</v>
      </c>
      <c r="J21" s="7" t="str">
        <f>MID(Table1[[#This Row],[Product ID]],4,3)</f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>IF(Table1[[#This Row],[Price ($)]]&gt;=500,"HIGH PRICE", "Standard Price")</f>
        <v>HIGH PRICE</v>
      </c>
      <c r="H22" s="7" t="str">
        <f>LEFT(Table1[[#This Row],[Product ID]],2)</f>
        <v>14</v>
      </c>
      <c r="I22" s="7" t="str">
        <f>RIGHT(Table1[[#This Row],[Product ID]],2)</f>
        <v>RU</v>
      </c>
      <c r="J22" s="7" t="str">
        <f>MID(Table1[[#This Row],[Product ID]],4,3)</f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>IF(Table1[[#This Row],[Price ($)]]&gt;=500,"HIGH PRICE", "Standard Price")</f>
        <v>Standard Price</v>
      </c>
      <c r="H23" s="7" t="str">
        <f>LEFT(Table1[[#This Row],[Product ID]],2)</f>
        <v>09</v>
      </c>
      <c r="I23" s="7" t="str">
        <f>RIGHT(Table1[[#This Row],[Product ID]],2)</f>
        <v>CA</v>
      </c>
      <c r="J23" s="7" t="str">
        <f>MID(Table1[[#This Row],[Product ID]],4,3)</f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>IF(Table1[[#This Row],[Price ($)]]&gt;=500,"HIGH PRICE", "Standard Price")</f>
        <v>Standard Price</v>
      </c>
      <c r="H24" s="7" t="str">
        <f>LEFT(Table1[[#This Row],[Product ID]],2)</f>
        <v>19</v>
      </c>
      <c r="I24" s="7" t="str">
        <f>RIGHT(Table1[[#This Row],[Product ID]],2)</f>
        <v>BR</v>
      </c>
      <c r="J24" s="7" t="str">
        <f>MID(Table1[[#This Row],[Product ID]],4,3)</f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 t="str">
        <f>IF(Table1[[#This Row],[Price ($)]]&gt;=500,"HIGH PRICE", "Standard Price")</f>
        <v>Standard Price</v>
      </c>
      <c r="H25" s="7" t="str">
        <f>LEFT(Table1[[#This Row],[Product ID]],2)</f>
        <v>21</v>
      </c>
      <c r="I25" s="7" t="str">
        <f>RIGHT(Table1[[#This Row],[Product ID]],2)</f>
        <v>CA</v>
      </c>
      <c r="J25" s="7" t="str">
        <f>MID(Table1[[#This Row],[Product ID]],4,3)</f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>IF(Table1[[#This Row],[Price ($)]]&gt;=500,"HIGH PRICE", "Standard Price")</f>
        <v>HIGH PRICE</v>
      </c>
      <c r="H26" s="7" t="str">
        <f>LEFT(Table1[[#This Row],[Product ID]],2)</f>
        <v>29</v>
      </c>
      <c r="I26" s="7" t="str">
        <f>RIGHT(Table1[[#This Row],[Product ID]],2)</f>
        <v>CA</v>
      </c>
      <c r="J26" s="7" t="str">
        <f>MID(Table1[[#This Row],[Product ID]],4,3)</f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 t="str">
        <f>IF(Table1[[#This Row],[Price ($)]]&gt;=500,"HIGH PRICE", "Standard Price")</f>
        <v>Standard Price</v>
      </c>
      <c r="H27" s="7" t="str">
        <f>LEFT(Table1[[#This Row],[Product ID]],2)</f>
        <v>03</v>
      </c>
      <c r="I27" s="7" t="str">
        <f>RIGHT(Table1[[#This Row],[Product ID]],2)</f>
        <v>CA</v>
      </c>
      <c r="J27" s="7" t="str">
        <f>MID(Table1[[#This Row],[Product ID]],4,3)</f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>IF(Table1[[#This Row],[Price ($)]]&gt;=500,"HIGH PRICE", "Standard Price")</f>
        <v>Standard Price</v>
      </c>
      <c r="H28" s="7" t="str">
        <f>LEFT(Table1[[#This Row],[Product ID]],2)</f>
        <v>11</v>
      </c>
      <c r="I28" s="7" t="str">
        <f>RIGHT(Table1[[#This Row],[Product ID]],2)</f>
        <v>CA</v>
      </c>
      <c r="J28" s="7" t="str">
        <f>MID(Table1[[#This Row],[Product ID]],4,3)</f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 t="str">
        <f>IF(Table1[[#This Row],[Price ($)]]&gt;=500,"HIGH PRICE", "Standard Price")</f>
        <v>Standard Price</v>
      </c>
      <c r="H29" s="7" t="str">
        <f>LEFT(Table1[[#This Row],[Product ID]],2)</f>
        <v>16</v>
      </c>
      <c r="I29" s="7" t="str">
        <f>RIGHT(Table1[[#This Row],[Product ID]],2)</f>
        <v>ES</v>
      </c>
      <c r="J29" s="7" t="str">
        <f>MID(Table1[[#This Row],[Product ID]],4,3)</f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>IF(Table1[[#This Row],[Price ($)]]&gt;=500,"HIGH PRICE", "Standard Price")</f>
        <v>Standard Price</v>
      </c>
      <c r="H30" s="7" t="str">
        <f>LEFT(Table1[[#This Row],[Product ID]],2)</f>
        <v>07</v>
      </c>
      <c r="I30" s="7" t="str">
        <f>RIGHT(Table1[[#This Row],[Product ID]],2)</f>
        <v>CA</v>
      </c>
      <c r="J30" s="7" t="str">
        <f>MID(Table1[[#This Row],[Product ID]],4,3)</f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 t="str">
        <f>IF(Table1[[#This Row],[Price ($)]]&gt;=500,"HIGH PRICE", "Standard Price")</f>
        <v>Standard Price</v>
      </c>
      <c r="H31" s="7" t="str">
        <f>LEFT(Table1[[#This Row],[Product ID]],2)</f>
        <v>13</v>
      </c>
      <c r="I31" s="7" t="str">
        <f>RIGHT(Table1[[#This Row],[Product ID]],2)</f>
        <v>CA</v>
      </c>
      <c r="J31" s="7" t="str">
        <f>MID(Table1[[#This Row],[Product ID]],4,3)</f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>IF(Table1[[#This Row],[Price ($)]]&gt;=500,"HIGH PRICE", "Standard Price")</f>
        <v>Standard Price</v>
      </c>
      <c r="H32" s="7" t="str">
        <f>LEFT(Table1[[#This Row],[Product ID]],2)</f>
        <v>24</v>
      </c>
      <c r="I32" s="7" t="str">
        <f>RIGHT(Table1[[#This Row],[Product ID]],2)</f>
        <v>CA</v>
      </c>
      <c r="J32" s="7" t="str">
        <f>MID(Table1[[#This Row],[Product ID]],4,3)</f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 t="str">
        <f>IF(Table1[[#This Row],[Price ($)]]&gt;=500,"HIGH PRICE", "Standard Price")</f>
        <v>Standard Price</v>
      </c>
      <c r="H33" s="7" t="str">
        <f>LEFT(Table1[[#This Row],[Product ID]],2)</f>
        <v>02</v>
      </c>
      <c r="I33" s="7" t="str">
        <f>RIGHT(Table1[[#This Row],[Product ID]],2)</f>
        <v>CA</v>
      </c>
      <c r="J33" s="7" t="str">
        <f>MID(Table1[[#This Row],[Product ID]],4,3)</f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>IF(Table1[[#This Row],[Price ($)]]&gt;=500,"HIGH PRICE", "Standard Price")</f>
        <v>HIGH PRICE</v>
      </c>
      <c r="H34" s="7" t="str">
        <f>LEFT(Table1[[#This Row],[Product ID]],2)</f>
        <v>17</v>
      </c>
      <c r="I34" s="7" t="str">
        <f>RIGHT(Table1[[#This Row],[Product ID]],2)</f>
        <v>IN</v>
      </c>
      <c r="J34" s="7" t="str">
        <f>MID(Table1[[#This Row],[Product ID]],4,3)</f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 t="str">
        <f>IF(Table1[[#This Row],[Price ($)]]&gt;=500,"HIGH PRICE", "Standard Price")</f>
        <v>Standard Price</v>
      </c>
      <c r="H35" s="7" t="str">
        <f>LEFT(Table1[[#This Row],[Product ID]],2)</f>
        <v>09</v>
      </c>
      <c r="I35" s="7" t="str">
        <f>RIGHT(Table1[[#This Row],[Product ID]],2)</f>
        <v>FR</v>
      </c>
      <c r="J35" s="7" t="str">
        <f>MID(Table1[[#This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L2:M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Raj Thangavel Sekar</cp:lastModifiedBy>
  <dcterms:modified xsi:type="dcterms:W3CDTF">2025-07-08T03:36:38Z</dcterms:modified>
</cp:coreProperties>
</file>